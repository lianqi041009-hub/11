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firstSheet="2"/>
  </bookViews>
  <sheets>
    <sheet name="Sheet1" sheetId="1" r:id="rId1"/>
    <sheet name="存款限量" sheetId="10" r:id="rId2"/>
    <sheet name="Sheet2" sheetId="16" r:id="rId3"/>
    <sheet name="Sheet3" sheetId="6" r:id="rId4"/>
  </sheets>
  <definedNames>
    <definedName name="_xlnm._FilterDatabase" localSheetId="2" hidden="1">Sheet2!$B$1:$O$74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余泽鑫</author>
    <author>Administrator</author>
  </authors>
  <commentList>
    <comment ref="H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C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3号后给1M营业额价格410</t>
        </r>
      </text>
    </comment>
    <comment ref="D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9号后 且1M价格410额度用完后  给500条营业额价格420
</t>
        </r>
      </text>
    </comment>
    <comment ref="E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19号后 且500条价格420额度用完后  给500条营业额价格440</t>
        </r>
      </text>
    </comment>
    <comment ref="F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26号后 且600条价格440额度用完后  给500条营业额价格460，耗尽后480
</t>
        </r>
      </text>
    </comment>
    <comment ref="C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3号后给1M营业额价格410
</t>
        </r>
      </text>
    </comment>
    <comment ref="D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9号后 且1M价格410额度用完后  给1.3M营业额价格420
</t>
        </r>
      </text>
    </comment>
    <comment ref="E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19号后 且1.3M格420额度用完后  给800条营业额价格440</t>
        </r>
      </text>
    </comment>
    <comment ref="F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26号后 且800条价格440额度用完后  给700条营业额价格460，耗尽后480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合约
</t>
        </r>
      </text>
    </comment>
  </commentList>
</comments>
</file>

<file path=xl/sharedStrings.xml><?xml version="1.0" encoding="utf-8"?>
<sst xmlns="http://schemas.openxmlformats.org/spreadsheetml/2006/main" count="405" uniqueCount="157">
  <si>
    <t>客户名称</t>
  </si>
  <si>
    <t>今日价格(手填)</t>
  </si>
  <si>
    <t>账目校验</t>
  </si>
  <si>
    <t>KW2(手填)</t>
  </si>
  <si>
    <t>KW3(手填)</t>
  </si>
  <si>
    <t>日期1(手填)</t>
  </si>
  <si>
    <t>价格1</t>
  </si>
  <si>
    <t>资金池1</t>
  </si>
  <si>
    <t>日期2(手填)</t>
  </si>
  <si>
    <t>价格2</t>
  </si>
  <si>
    <t>资金池2</t>
  </si>
  <si>
    <t>日期3(手填)</t>
  </si>
  <si>
    <t>价格3</t>
  </si>
  <si>
    <t>资金池3</t>
  </si>
  <si>
    <t>日期4(手填)</t>
  </si>
  <si>
    <t>价格4</t>
  </si>
  <si>
    <t>资金池4</t>
  </si>
  <si>
    <t>日期5(手填)</t>
  </si>
  <si>
    <t>价格5</t>
  </si>
  <si>
    <t>资金池5</t>
  </si>
  <si>
    <t>日期6(手填)</t>
  </si>
  <si>
    <t>价格6</t>
  </si>
  <si>
    <t>资金池6</t>
  </si>
  <si>
    <t>日期7(手填)</t>
  </si>
  <si>
    <t>价格7</t>
  </si>
  <si>
    <t>资金池7</t>
  </si>
  <si>
    <t>日期8(手填)</t>
  </si>
  <si>
    <t>价格8</t>
  </si>
  <si>
    <t>资金池8</t>
  </si>
  <si>
    <t>ZEL</t>
  </si>
  <si>
    <t>相等</t>
  </si>
  <si>
    <t>JB</t>
  </si>
  <si>
    <t>TK</t>
  </si>
  <si>
    <t>STA</t>
  </si>
  <si>
    <t>SBC</t>
  </si>
  <si>
    <t>SAN</t>
  </si>
  <si>
    <t>SH</t>
  </si>
  <si>
    <t>SA</t>
  </si>
  <si>
    <t>PGG</t>
  </si>
  <si>
    <t>PJA</t>
  </si>
  <si>
    <t>PM</t>
  </si>
  <si>
    <t>RT</t>
  </si>
  <si>
    <t>NJP</t>
  </si>
  <si>
    <t>MTS</t>
  </si>
  <si>
    <t>MBR</t>
  </si>
  <si>
    <t>MJS</t>
  </si>
  <si>
    <t>MJY</t>
  </si>
  <si>
    <t>ME</t>
  </si>
  <si>
    <t>LY</t>
  </si>
  <si>
    <t>LM</t>
  </si>
  <si>
    <t>KJP</t>
  </si>
  <si>
    <t>JI</t>
  </si>
  <si>
    <t>JBR</t>
  </si>
  <si>
    <t>IMM</t>
  </si>
  <si>
    <t>HW</t>
  </si>
  <si>
    <t>HA</t>
  </si>
  <si>
    <t>CPS</t>
  </si>
  <si>
    <t>BUM</t>
  </si>
  <si>
    <t>BML</t>
  </si>
  <si>
    <t>BJ</t>
  </si>
  <si>
    <t>BAIG</t>
  </si>
  <si>
    <t>BAM</t>
  </si>
  <si>
    <t>SCN</t>
  </si>
  <si>
    <t>API</t>
  </si>
  <si>
    <t>SBR</t>
  </si>
  <si>
    <t>SG</t>
  </si>
  <si>
    <t>LS</t>
  </si>
  <si>
    <t>GJ</t>
  </si>
  <si>
    <t>YS</t>
  </si>
  <si>
    <t>未找到</t>
  </si>
  <si>
    <t>不相等</t>
  </si>
  <si>
    <t>JH</t>
  </si>
  <si>
    <t>IKS</t>
  </si>
  <si>
    <t>BDM</t>
  </si>
  <si>
    <t>TM</t>
  </si>
  <si>
    <t>TH</t>
  </si>
  <si>
    <t>DP</t>
  </si>
  <si>
    <r>
      <rPr>
        <sz val="17.5"/>
        <color theme="1"/>
        <rFont val="SimSun"/>
        <charset val="134"/>
      </rPr>
      <t>　　　　　　　</t>
    </r>
    <r>
      <rPr>
        <sz val="17.5"/>
        <color theme="1"/>
        <rFont val="SimSun"/>
        <charset val="134"/>
      </rPr>
      <t>客户分级</t>
    </r>
  </si>
  <si>
    <t>备注</t>
  </si>
  <si>
    <t>客户简称</t>
  </si>
  <si>
    <t>大约拿货量</t>
  </si>
  <si>
    <t>存款额度</t>
  </si>
  <si>
    <t>MJS/STA</t>
  </si>
  <si>
    <t>8000以上</t>
  </si>
  <si>
    <t>JH/YS</t>
  </si>
  <si>
    <t>BIG</t>
  </si>
  <si>
    <t>4000-8000</t>
  </si>
  <si>
    <t>BUM/BML</t>
  </si>
  <si>
    <t>4000-6000</t>
  </si>
  <si>
    <t>BJ/PPC</t>
  </si>
  <si>
    <t>3000-5000</t>
  </si>
  <si>
    <t>BAMBANG</t>
  </si>
  <si>
    <t>PM/APW</t>
  </si>
  <si>
    <t>2000-5000</t>
  </si>
  <si>
    <t>书宝</t>
  </si>
  <si>
    <t>PJA/PGG</t>
  </si>
  <si>
    <t>秀德</t>
  </si>
  <si>
    <t>2500-4000</t>
  </si>
  <si>
    <t>文杰</t>
  </si>
  <si>
    <t>1500-2500</t>
  </si>
  <si>
    <t>1500-2000</t>
  </si>
  <si>
    <t>书杰／小红</t>
  </si>
  <si>
    <t>1000-2000</t>
  </si>
  <si>
    <t>钢筋ANTOK</t>
  </si>
  <si>
    <t>TD</t>
  </si>
  <si>
    <t>CVA/IMM</t>
  </si>
  <si>
    <t>500-1000</t>
  </si>
  <si>
    <t>SASA</t>
  </si>
  <si>
    <t>LY/JI</t>
  </si>
  <si>
    <t>CD</t>
  </si>
  <si>
    <t>500以下</t>
  </si>
  <si>
    <t>KEP</t>
  </si>
  <si>
    <t>1月3账户存款用完后价格如下</t>
  </si>
  <si>
    <t>1月9账户存款用完后价格如下</t>
  </si>
  <si>
    <t>1月19账户存款用完后价格如下</t>
  </si>
  <si>
    <t>1月26账户存款用完后价格如下</t>
  </si>
  <si>
    <t>2月2账户存款用完后价格如下</t>
  </si>
  <si>
    <t>2月23日起价格</t>
  </si>
  <si>
    <t>4月15日起价格</t>
  </si>
  <si>
    <t>4月20日起价格</t>
  </si>
  <si>
    <t>4月29日起价格</t>
  </si>
  <si>
    <t>5月18日起价格（本期）</t>
  </si>
  <si>
    <t>AAG</t>
  </si>
  <si>
    <t>ARY</t>
  </si>
  <si>
    <t>SUB</t>
  </si>
  <si>
    <t>AL</t>
  </si>
  <si>
    <t>CVA</t>
  </si>
  <si>
    <t>CVM</t>
  </si>
  <si>
    <t>EDU</t>
  </si>
  <si>
    <t>HY</t>
  </si>
  <si>
    <t>IG</t>
  </si>
  <si>
    <t>II</t>
  </si>
  <si>
    <t>JAS</t>
  </si>
  <si>
    <t>JPTTF</t>
  </si>
  <si>
    <t>KM</t>
  </si>
  <si>
    <t>LMS</t>
  </si>
  <si>
    <t>LH</t>
  </si>
  <si>
    <t>MM</t>
  </si>
  <si>
    <t>NBP</t>
  </si>
  <si>
    <t>PO</t>
  </si>
  <si>
    <t>PSI</t>
  </si>
  <si>
    <t>PSI(SUS</t>
  </si>
  <si>
    <t>SA-KBS</t>
  </si>
  <si>
    <t>SO</t>
  </si>
  <si>
    <t>STL</t>
  </si>
  <si>
    <t>TSI</t>
  </si>
  <si>
    <t>ZAT</t>
  </si>
  <si>
    <t>ZZ</t>
  </si>
  <si>
    <t>PDS</t>
  </si>
  <si>
    <t>PPC</t>
  </si>
  <si>
    <t>TPM</t>
  </si>
  <si>
    <t>GKI</t>
  </si>
  <si>
    <t>HMI</t>
  </si>
  <si>
    <t>原价</t>
  </si>
  <si>
    <t>APW</t>
  </si>
  <si>
    <t>SAD</t>
  </si>
  <si>
    <t>SRD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</si>
</sst>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</numFmts>
  <fonts count="33">
    <font>
      <sz val="11"/>
      <color theme="1"/>
      <name val="宋体"/>
      <charset val="134"/>
      <scheme val="minor"/>
    </font>
    <font>
      <b/>
      <sz val="10"/>
      <color theme="1"/>
      <name val="微软雅黑"/>
      <charset val="134"/>
    </font>
    <font>
      <sz val="10"/>
      <name val="微软雅黑"/>
      <charset val="134"/>
    </font>
    <font>
      <b/>
      <sz val="10"/>
      <color rgb="FF00B050"/>
      <name val="微软雅黑"/>
      <charset val="134"/>
    </font>
    <font>
      <sz val="11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theme="1"/>
      <name val="Arial"/>
      <charset val="134"/>
    </font>
    <font>
      <sz val="17.5"/>
      <color theme="1"/>
      <name val="黑体"/>
      <charset val="134"/>
    </font>
    <font>
      <sz val="11"/>
      <color theme="1"/>
      <name val="黑体"/>
      <charset val="134"/>
    </font>
    <font>
      <b/>
      <sz val="10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7.5"/>
      <color theme="1"/>
      <name val="SimSun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EF2CA"/>
        <bgColor indexed="64"/>
      </patternFill>
    </fill>
    <fill>
      <patternFill patternType="solid">
        <fgColor rgb="FFE6E4E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11" borderId="2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3">
      <alignment vertical="center"/>
    </xf>
    <xf numFmtId="0" fontId="17" fillId="0" borderId="3">
      <alignment vertical="center"/>
    </xf>
    <xf numFmtId="0" fontId="18" fillId="0" borderId="4">
      <alignment vertical="center"/>
    </xf>
    <xf numFmtId="0" fontId="18" fillId="0" borderId="0">
      <alignment vertical="center"/>
    </xf>
    <xf numFmtId="0" fontId="19" fillId="12" borderId="5">
      <alignment vertical="center"/>
    </xf>
    <xf numFmtId="0" fontId="20" fillId="13" borderId="6">
      <alignment vertical="center"/>
    </xf>
    <xf numFmtId="0" fontId="21" fillId="13" borderId="5">
      <alignment vertical="center"/>
    </xf>
    <xf numFmtId="0" fontId="22" fillId="14" borderId="7">
      <alignment vertical="center"/>
    </xf>
    <xf numFmtId="0" fontId="23" fillId="0" borderId="8">
      <alignment vertical="center"/>
    </xf>
    <xf numFmtId="0" fontId="24" fillId="0" borderId="9">
      <alignment vertical="center"/>
    </xf>
    <xf numFmtId="0" fontId="25" fillId="15" borderId="0">
      <alignment vertical="center"/>
    </xf>
    <xf numFmtId="0" fontId="26" fillId="16" borderId="0">
      <alignment vertical="center"/>
    </xf>
    <xf numFmtId="0" fontId="27" fillId="17" borderId="0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29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9" fillId="23" borderId="0">
      <alignment vertical="center"/>
    </xf>
    <xf numFmtId="0" fontId="29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9" fillId="27" borderId="0">
      <alignment vertical="center"/>
    </xf>
    <xf numFmtId="0" fontId="29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9" fillId="31" borderId="0">
      <alignment vertical="center"/>
    </xf>
    <xf numFmtId="0" fontId="29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9" fillId="35" borderId="0">
      <alignment vertical="center"/>
    </xf>
    <xf numFmtId="0" fontId="29" fillId="36" borderId="0">
      <alignment vertical="center"/>
    </xf>
    <xf numFmtId="0" fontId="28" fillId="37" borderId="0">
      <alignment vertical="center"/>
    </xf>
    <xf numFmtId="0" fontId="28" fillId="38" borderId="0">
      <alignment vertical="center"/>
    </xf>
    <xf numFmtId="0" fontId="29" fillId="39" borderId="0">
      <alignment vertical="center"/>
    </xf>
    <xf numFmtId="0" fontId="29" fillId="40" borderId="0">
      <alignment vertical="center"/>
    </xf>
    <xf numFmtId="0" fontId="28" fillId="41" borderId="0">
      <alignment vertical="center"/>
    </xf>
  </cellStyleXfs>
  <cellXfs count="39">
    <xf numFmtId="0" fontId="0" fillId="0" borderId="0" xfId="0" applyAlignment="1">
      <alignment vertical="center"/>
    </xf>
    <xf numFmtId="0" fontId="1" fillId="2" borderId="1" xfId="0" applyNumberFormat="1" applyFont="1" applyFill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5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5" fillId="5" borderId="0" xfId="0" applyFont="1" applyFill="1" applyAlignment="1">
      <alignment vertical="center"/>
    </xf>
    <xf numFmtId="0" fontId="5" fillId="5" borderId="0" xfId="0" applyFont="1" applyFill="1" applyAlignment="1">
      <alignment horizontal="center" vertical="center"/>
    </xf>
    <xf numFmtId="0" fontId="5" fillId="0" borderId="0" xfId="0" applyFont="1" applyFill="1" applyAlignment="1">
      <alignment vertical="center" wrapText="1"/>
    </xf>
    <xf numFmtId="0" fontId="5" fillId="6" borderId="0" xfId="0" applyFont="1" applyFill="1" applyAlignment="1">
      <alignment horizontal="center" vertical="center"/>
    </xf>
    <xf numFmtId="0" fontId="7" fillId="0" borderId="0" xfId="0" applyFont="1" applyFill="1" applyAlignment="1"/>
    <xf numFmtId="0" fontId="7" fillId="0" borderId="0" xfId="0" applyFont="1" applyFill="1" applyAlignment="1">
      <alignment horizontal="left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left" vertical="center" wrapText="1"/>
    </xf>
    <xf numFmtId="176" fontId="8" fillId="0" borderId="1" xfId="0" applyNumberFormat="1" applyFont="1" applyFill="1" applyBorder="1" applyAlignment="1">
      <alignment horizontal="center" vertical="center" wrapText="1"/>
    </xf>
    <xf numFmtId="1" fontId="8" fillId="0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vertical="center"/>
    </xf>
    <xf numFmtId="0" fontId="1" fillId="7" borderId="1" xfId="0" applyNumberFormat="1" applyFont="1" applyFill="1" applyBorder="1" applyAlignment="1">
      <alignment horizontal="center" vertical="center"/>
    </xf>
    <xf numFmtId="176" fontId="2" fillId="8" borderId="1" xfId="0" applyNumberFormat="1" applyFont="1" applyFill="1" applyBorder="1" applyAlignment="1">
      <alignment horizontal="center" vertical="center"/>
    </xf>
    <xf numFmtId="14" fontId="2" fillId="9" borderId="1" xfId="0" applyNumberFormat="1" applyFont="1" applyFill="1" applyBorder="1" applyAlignment="1">
      <alignment horizontal="center" vertical="center"/>
    </xf>
    <xf numFmtId="0" fontId="2" fillId="10" borderId="1" xfId="0" applyNumberFormat="1" applyFont="1" applyFill="1" applyBorder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0" fontId="10" fillId="10" borderId="1" xfId="0" applyNumberFormat="1" applyFont="1" applyFill="1" applyBorder="1" applyAlignment="1">
      <alignment horizontal="center" vertical="center"/>
    </xf>
    <xf numFmtId="0" fontId="2" fillId="9" borderId="1" xfId="0" applyNumberFormat="1" applyFont="1" applyFill="1" applyBorder="1" applyAlignment="1">
      <alignment horizontal="center" vertical="center"/>
    </xf>
    <xf numFmtId="0" fontId="2" fillId="8" borderId="1" xfId="0" applyNumberFormat="1" applyFont="1" applyFill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2" fillId="10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C46"/>
  <sheetViews>
    <sheetView tabSelected="1" workbookViewId="0">
      <pane xSplit="5" ySplit="1" topLeftCell="F2" activePane="bottomRight" state="frozen"/>
      <selection/>
      <selection pane="topRight"/>
      <selection pane="bottomLeft"/>
      <selection pane="bottomRight" activeCell="B12" sqref="B12"/>
    </sheetView>
  </sheetViews>
  <sheetFormatPr defaultColWidth="9" defaultRowHeight="13.5"/>
  <cols>
    <col min="1" max="1" width="7.875" style="23" customWidth="1"/>
    <col min="2" max="2" width="12.625" style="23" customWidth="1"/>
    <col min="3" max="3" width="7.875" style="23" customWidth="1"/>
    <col min="4" max="5" width="9.75" style="23" customWidth="1"/>
    <col min="6" max="6" width="10.125" style="23" customWidth="1"/>
    <col min="7" max="7" width="8.75" style="23" customWidth="1"/>
    <col min="8" max="8" width="12.375" style="23" customWidth="1"/>
    <col min="9" max="9" width="10.125" style="23" customWidth="1"/>
    <col min="10" max="10" width="8.75" style="23" customWidth="1"/>
    <col min="11" max="11" width="12.375" style="23" customWidth="1"/>
    <col min="12" max="12" width="10.125" style="23" customWidth="1"/>
    <col min="13" max="13" width="8.75" style="23" customWidth="1"/>
    <col min="14" max="14" width="12.375" style="23" customWidth="1"/>
    <col min="15" max="15" width="10.125" style="23" customWidth="1"/>
    <col min="16" max="16" width="8.75" style="23" customWidth="1"/>
    <col min="17" max="17" width="12.375" style="23" customWidth="1"/>
    <col min="18" max="18" width="10.125" style="23" customWidth="1"/>
    <col min="19" max="19" width="8.75" style="23" customWidth="1"/>
    <col min="20" max="20" width="12.375" style="23" customWidth="1"/>
    <col min="21" max="21" width="10.125" style="23" customWidth="1"/>
    <col min="22" max="22" width="8.75" style="23" customWidth="1"/>
    <col min="23" max="23" width="13.5" style="23" customWidth="1"/>
    <col min="24" max="24" width="10.125" style="23" customWidth="1"/>
    <col min="25" max="25" width="8.75" style="23" customWidth="1"/>
    <col min="26" max="26" width="7.25" style="23" customWidth="1"/>
    <col min="27" max="27" width="10.125" style="23" customWidth="1"/>
    <col min="28" max="28" width="7.375" style="23" customWidth="1"/>
    <col min="29" max="29" width="8.375" style="23" customWidth="1"/>
    <col min="30" max="16384" width="9" style="23"/>
  </cols>
  <sheetData>
    <row r="1" s="23" customFormat="1" ht="22" customHeight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24" t="s">
        <v>26</v>
      </c>
      <c r="AB1" s="24" t="s">
        <v>27</v>
      </c>
      <c r="AC1" s="24" t="s">
        <v>28</v>
      </c>
    </row>
    <row r="2" s="23" customFormat="1" ht="16.5" spans="1:29">
      <c r="A2" s="2" t="s">
        <v>29</v>
      </c>
      <c r="B2" s="3">
        <v>525000</v>
      </c>
      <c r="C2" s="4" t="s">
        <v>30</v>
      </c>
      <c r="D2" s="3"/>
      <c r="E2" s="3"/>
      <c r="F2" s="5"/>
      <c r="G2" s="25">
        <v>455000</v>
      </c>
      <c r="H2" s="25">
        <v>0</v>
      </c>
      <c r="I2" s="5"/>
      <c r="J2" s="25">
        <v>465000</v>
      </c>
      <c r="K2" s="25">
        <v>0</v>
      </c>
      <c r="L2" s="5"/>
      <c r="M2" s="25">
        <v>485000</v>
      </c>
      <c r="N2" s="25">
        <v>0</v>
      </c>
      <c r="O2" s="5"/>
      <c r="P2" s="25">
        <v>495000</v>
      </c>
      <c r="Q2" s="25">
        <v>0</v>
      </c>
      <c r="R2" s="5"/>
      <c r="S2" s="25">
        <v>515000</v>
      </c>
      <c r="T2" s="25">
        <v>0</v>
      </c>
      <c r="U2" s="5"/>
      <c r="V2" s="25">
        <v>525000</v>
      </c>
      <c r="W2" s="25">
        <v>111963402.5</v>
      </c>
      <c r="X2" s="5"/>
      <c r="Y2" s="25"/>
      <c r="Z2" s="25"/>
      <c r="AA2" s="26"/>
      <c r="AB2" s="27"/>
      <c r="AC2" s="27"/>
    </row>
    <row r="3" s="23" customFormat="1" ht="16.5" spans="1:29">
      <c r="A3" s="2" t="s">
        <v>31</v>
      </c>
      <c r="B3" s="3">
        <v>500000</v>
      </c>
      <c r="C3" s="4" t="s">
        <v>30</v>
      </c>
      <c r="D3" s="3">
        <v>370000</v>
      </c>
      <c r="E3" s="3"/>
      <c r="F3" s="5"/>
      <c r="G3" s="25">
        <v>430000</v>
      </c>
      <c r="H3" s="25">
        <v>0</v>
      </c>
      <c r="I3" s="5"/>
      <c r="J3" s="25">
        <v>460000</v>
      </c>
      <c r="K3" s="25">
        <v>0</v>
      </c>
      <c r="L3" s="5"/>
      <c r="M3" s="25">
        <v>490000</v>
      </c>
      <c r="N3" s="28">
        <v>-19051863.75</v>
      </c>
      <c r="O3" s="5"/>
      <c r="P3" s="25"/>
      <c r="Q3" s="25"/>
      <c r="R3" s="5"/>
      <c r="S3" s="25"/>
      <c r="T3" s="25"/>
      <c r="U3" s="5"/>
      <c r="V3" s="25"/>
      <c r="W3" s="25"/>
      <c r="X3" s="5"/>
      <c r="Y3" s="25"/>
      <c r="Z3" s="25"/>
      <c r="AA3" s="26"/>
      <c r="AB3" s="27"/>
      <c r="AC3" s="27"/>
    </row>
    <row r="4" s="23" customFormat="1" ht="16.5" spans="1:29">
      <c r="A4" s="2" t="s">
        <v>32</v>
      </c>
      <c r="B4" s="3">
        <v>530000</v>
      </c>
      <c r="C4" s="4" t="s">
        <v>30</v>
      </c>
      <c r="D4" s="3"/>
      <c r="E4" s="3"/>
      <c r="F4" s="5"/>
      <c r="G4" s="25">
        <v>450000</v>
      </c>
      <c r="H4" s="25">
        <v>51577120</v>
      </c>
      <c r="I4" s="5"/>
      <c r="J4" s="25"/>
      <c r="K4" s="25"/>
      <c r="L4" s="5"/>
      <c r="M4" s="25"/>
      <c r="N4" s="25"/>
      <c r="O4" s="5"/>
      <c r="P4" s="25"/>
      <c r="Q4" s="25"/>
      <c r="R4" s="5"/>
      <c r="S4" s="25"/>
      <c r="T4" s="25"/>
      <c r="U4" s="5"/>
      <c r="V4" s="25"/>
      <c r="W4" s="25"/>
      <c r="X4" s="5"/>
      <c r="Y4" s="25"/>
      <c r="Z4" s="25"/>
      <c r="AA4" s="26"/>
      <c r="AB4" s="27"/>
      <c r="AC4" s="27"/>
    </row>
    <row r="5" s="23" customFormat="1" ht="16.5" spans="1:29">
      <c r="A5" s="2" t="s">
        <v>33</v>
      </c>
      <c r="B5" s="3">
        <v>510000</v>
      </c>
      <c r="C5" s="4" t="s">
        <v>30</v>
      </c>
      <c r="D5" s="3">
        <v>380000</v>
      </c>
      <c r="E5" s="3">
        <v>170000</v>
      </c>
      <c r="F5" s="5"/>
      <c r="G5" s="25">
        <v>440000</v>
      </c>
      <c r="H5" s="25">
        <v>0</v>
      </c>
      <c r="I5" s="5"/>
      <c r="J5" s="25">
        <v>450000</v>
      </c>
      <c r="K5" s="25">
        <v>0</v>
      </c>
      <c r="L5" s="5"/>
      <c r="M5" s="25">
        <v>470000</v>
      </c>
      <c r="N5" s="25">
        <v>0</v>
      </c>
      <c r="O5" s="5"/>
      <c r="P5" s="25">
        <v>500000</v>
      </c>
      <c r="Q5" s="25">
        <v>0</v>
      </c>
      <c r="R5" s="5"/>
      <c r="S5" s="25">
        <v>510000</v>
      </c>
      <c r="T5" s="25">
        <v>0</v>
      </c>
      <c r="U5" s="5"/>
      <c r="V5" s="25">
        <v>520000</v>
      </c>
      <c r="W5" s="28">
        <v>-167603864.46</v>
      </c>
      <c r="X5" s="5"/>
      <c r="Y5" s="25"/>
      <c r="Z5" s="25"/>
      <c r="AA5" s="26"/>
      <c r="AB5" s="27"/>
      <c r="AC5" s="27"/>
    </row>
    <row r="6" s="23" customFormat="1" ht="16.5" spans="1:29">
      <c r="A6" s="2" t="s">
        <v>34</v>
      </c>
      <c r="B6" s="3">
        <v>520000</v>
      </c>
      <c r="C6" s="4" t="s">
        <v>30</v>
      </c>
      <c r="D6" s="3"/>
      <c r="E6" s="3"/>
      <c r="F6" s="5"/>
      <c r="G6" s="25">
        <v>460000</v>
      </c>
      <c r="H6" s="25">
        <v>0</v>
      </c>
      <c r="I6" s="5"/>
      <c r="J6" s="25">
        <v>520000</v>
      </c>
      <c r="K6" s="25">
        <v>321676136.2</v>
      </c>
      <c r="L6" s="5"/>
      <c r="M6" s="25"/>
      <c r="N6" s="25"/>
      <c r="O6" s="5"/>
      <c r="P6" s="25"/>
      <c r="Q6" s="25"/>
      <c r="R6" s="5"/>
      <c r="S6" s="25"/>
      <c r="T6" s="25"/>
      <c r="U6" s="5"/>
      <c r="V6" s="25"/>
      <c r="W6" s="25"/>
      <c r="X6" s="5"/>
      <c r="Y6" s="25"/>
      <c r="Z6" s="25"/>
      <c r="AA6" s="26"/>
      <c r="AB6" s="27"/>
      <c r="AC6" s="27"/>
    </row>
    <row r="7" s="23" customFormat="1" ht="16.5" spans="1:29">
      <c r="A7" s="2" t="s">
        <v>35</v>
      </c>
      <c r="B7" s="3">
        <v>520000</v>
      </c>
      <c r="C7" s="4" t="s">
        <v>30</v>
      </c>
      <c r="D7" s="3"/>
      <c r="E7" s="3"/>
      <c r="F7" s="5"/>
      <c r="G7" s="25">
        <v>450000</v>
      </c>
      <c r="H7" s="25">
        <v>0</v>
      </c>
      <c r="I7" s="5"/>
      <c r="J7" s="25">
        <v>460000</v>
      </c>
      <c r="K7" s="25">
        <v>0</v>
      </c>
      <c r="L7" s="5"/>
      <c r="M7" s="25">
        <v>480000</v>
      </c>
      <c r="N7" s="25">
        <v>0</v>
      </c>
      <c r="O7" s="5"/>
      <c r="P7" s="25">
        <v>520000</v>
      </c>
      <c r="Q7" s="25">
        <v>2062316</v>
      </c>
      <c r="R7" s="5"/>
      <c r="S7" s="25"/>
      <c r="T7" s="25"/>
      <c r="U7" s="5"/>
      <c r="V7" s="25"/>
      <c r="W7" s="25"/>
      <c r="X7" s="5"/>
      <c r="Y7" s="25"/>
      <c r="Z7" s="25"/>
      <c r="AA7" s="26"/>
      <c r="AB7" s="27"/>
      <c r="AC7" s="27"/>
    </row>
    <row r="8" s="23" customFormat="1" ht="16.5" spans="1:29">
      <c r="A8" s="2" t="s">
        <v>36</v>
      </c>
      <c r="B8" s="3">
        <v>500000</v>
      </c>
      <c r="C8" s="4" t="s">
        <v>30</v>
      </c>
      <c r="D8" s="3"/>
      <c r="E8" s="3">
        <v>200000</v>
      </c>
      <c r="F8" s="5"/>
      <c r="G8" s="25">
        <v>430000</v>
      </c>
      <c r="H8" s="25">
        <v>0</v>
      </c>
      <c r="I8" s="5"/>
      <c r="J8" s="25">
        <v>440000</v>
      </c>
      <c r="K8" s="25">
        <v>0</v>
      </c>
      <c r="L8" s="5"/>
      <c r="M8" s="25">
        <v>460000</v>
      </c>
      <c r="N8" s="25">
        <v>187959990.62</v>
      </c>
      <c r="O8" s="5"/>
      <c r="P8" s="25"/>
      <c r="Q8" s="25"/>
      <c r="R8" s="5"/>
      <c r="S8" s="25"/>
      <c r="T8" s="25"/>
      <c r="U8" s="5"/>
      <c r="V8" s="25"/>
      <c r="W8" s="25"/>
      <c r="X8" s="5"/>
      <c r="Y8" s="25"/>
      <c r="Z8" s="25"/>
      <c r="AA8" s="26"/>
      <c r="AB8" s="27"/>
      <c r="AC8" s="27"/>
    </row>
    <row r="9" s="23" customFormat="1" ht="16.5" spans="1:29">
      <c r="A9" s="2" t="s">
        <v>37</v>
      </c>
      <c r="B9" s="3">
        <v>520000</v>
      </c>
      <c r="C9" s="4" t="s">
        <v>30</v>
      </c>
      <c r="D9" s="3"/>
      <c r="E9" s="3"/>
      <c r="F9" s="5"/>
      <c r="G9" s="25">
        <v>450000</v>
      </c>
      <c r="H9" s="25">
        <v>0</v>
      </c>
      <c r="I9" s="5"/>
      <c r="J9" s="25">
        <v>480000</v>
      </c>
      <c r="K9" s="25">
        <v>0</v>
      </c>
      <c r="L9" s="5"/>
      <c r="M9" s="25">
        <v>500000</v>
      </c>
      <c r="N9" s="25">
        <v>0</v>
      </c>
      <c r="O9" s="5"/>
      <c r="P9" s="25">
        <v>510000</v>
      </c>
      <c r="Q9" s="25">
        <v>100530160</v>
      </c>
      <c r="R9" s="5"/>
      <c r="S9" s="25"/>
      <c r="T9" s="25"/>
      <c r="U9" s="5"/>
      <c r="V9" s="25"/>
      <c r="W9" s="25"/>
      <c r="X9" s="5"/>
      <c r="Y9" s="25"/>
      <c r="Z9" s="25"/>
      <c r="AA9" s="26"/>
      <c r="AB9" s="27"/>
      <c r="AC9" s="27"/>
    </row>
    <row r="10" s="23" customFormat="1" ht="16.5" spans="1:29">
      <c r="A10" s="2" t="s">
        <v>38</v>
      </c>
      <c r="B10" s="3">
        <v>500000</v>
      </c>
      <c r="C10" s="4" t="s">
        <v>30</v>
      </c>
      <c r="D10" s="3"/>
      <c r="E10" s="3"/>
      <c r="F10" s="5"/>
      <c r="G10" s="25">
        <v>430000</v>
      </c>
      <c r="H10" s="25">
        <v>9672860</v>
      </c>
      <c r="I10" s="5"/>
      <c r="J10" s="25">
        <v>460000</v>
      </c>
      <c r="K10" s="25">
        <v>500000000</v>
      </c>
      <c r="L10" s="5"/>
      <c r="M10" s="25">
        <v>490000</v>
      </c>
      <c r="N10" s="25">
        <v>300000000</v>
      </c>
      <c r="O10" s="5"/>
      <c r="P10" s="25"/>
      <c r="Q10" s="25"/>
      <c r="R10" s="5"/>
      <c r="S10" s="25"/>
      <c r="T10" s="25"/>
      <c r="U10" s="5"/>
      <c r="V10" s="25"/>
      <c r="W10" s="25"/>
      <c r="X10" s="5"/>
      <c r="Y10" s="25"/>
      <c r="Z10" s="25"/>
      <c r="AA10" s="26"/>
      <c r="AB10" s="27"/>
      <c r="AC10" s="27"/>
    </row>
    <row r="11" s="23" customFormat="1" ht="16.5" spans="1:29">
      <c r="A11" s="2" t="s">
        <v>39</v>
      </c>
      <c r="B11" s="3">
        <v>500000</v>
      </c>
      <c r="C11" s="4" t="s">
        <v>30</v>
      </c>
      <c r="D11" s="3"/>
      <c r="E11" s="3"/>
      <c r="F11" s="5"/>
      <c r="G11" s="25">
        <v>410000</v>
      </c>
      <c r="H11" s="25">
        <v>0</v>
      </c>
      <c r="I11" s="5"/>
      <c r="J11" s="25">
        <v>425000</v>
      </c>
      <c r="K11" s="25">
        <v>0</v>
      </c>
      <c r="L11" s="5"/>
      <c r="M11" s="25">
        <v>430000</v>
      </c>
      <c r="N11" s="25">
        <v>0</v>
      </c>
      <c r="O11" s="5"/>
      <c r="P11" s="25">
        <v>500000</v>
      </c>
      <c r="Q11" s="25">
        <v>257732623</v>
      </c>
      <c r="R11" s="5"/>
      <c r="S11" s="25">
        <v>500000</v>
      </c>
      <c r="T11" s="25">
        <v>300000000</v>
      </c>
      <c r="U11" s="5"/>
      <c r="V11" s="25"/>
      <c r="W11" s="25"/>
      <c r="X11" s="5"/>
      <c r="Y11" s="25"/>
      <c r="Z11" s="25"/>
      <c r="AA11" s="26"/>
      <c r="AB11" s="27"/>
      <c r="AC11" s="27"/>
    </row>
    <row r="12" s="23" customFormat="1" ht="16.5" spans="1:29">
      <c r="A12" s="2" t="s">
        <v>40</v>
      </c>
      <c r="B12" s="3">
        <v>510000</v>
      </c>
      <c r="C12" s="4" t="s">
        <v>30</v>
      </c>
      <c r="D12" s="3"/>
      <c r="E12" s="3"/>
      <c r="F12" s="5"/>
      <c r="G12" s="25">
        <v>440000</v>
      </c>
      <c r="H12" s="25">
        <v>0</v>
      </c>
      <c r="I12" s="5"/>
      <c r="J12" s="25">
        <v>450000</v>
      </c>
      <c r="K12" s="25">
        <v>0</v>
      </c>
      <c r="L12" s="5"/>
      <c r="M12" s="25">
        <v>470000</v>
      </c>
      <c r="N12" s="25">
        <v>0</v>
      </c>
      <c r="O12" s="5"/>
      <c r="P12" s="25">
        <v>500000</v>
      </c>
      <c r="Q12" s="25">
        <v>0</v>
      </c>
      <c r="R12" s="5"/>
      <c r="S12" s="25">
        <v>520000</v>
      </c>
      <c r="T12" s="28">
        <v>-19457190</v>
      </c>
      <c r="U12" s="5"/>
      <c r="V12" s="25"/>
      <c r="W12" s="25"/>
      <c r="X12" s="5"/>
      <c r="Y12" s="25"/>
      <c r="Z12" s="25"/>
      <c r="AA12" s="26"/>
      <c r="AB12" s="27"/>
      <c r="AC12" s="27"/>
    </row>
    <row r="13" s="23" customFormat="1" ht="16.5" spans="1:29">
      <c r="A13" s="2" t="s">
        <v>41</v>
      </c>
      <c r="B13" s="3">
        <v>530000</v>
      </c>
      <c r="C13" s="4" t="s">
        <v>30</v>
      </c>
      <c r="D13" s="3">
        <v>400000</v>
      </c>
      <c r="E13" s="3">
        <v>220000</v>
      </c>
      <c r="F13" s="5"/>
      <c r="G13" s="25">
        <v>460000</v>
      </c>
      <c r="H13" s="25">
        <v>0</v>
      </c>
      <c r="I13" s="5"/>
      <c r="J13" s="25">
        <v>470000</v>
      </c>
      <c r="K13" s="25">
        <v>0</v>
      </c>
      <c r="L13" s="5"/>
      <c r="M13" s="25">
        <v>480000</v>
      </c>
      <c r="N13" s="25">
        <v>0</v>
      </c>
      <c r="O13" s="5"/>
      <c r="P13" s="25">
        <v>490000</v>
      </c>
      <c r="Q13" s="25">
        <v>0</v>
      </c>
      <c r="R13" s="5"/>
      <c r="S13" s="25">
        <v>500000</v>
      </c>
      <c r="T13" s="25">
        <v>0</v>
      </c>
      <c r="U13" s="5"/>
      <c r="V13" s="25">
        <v>510000</v>
      </c>
      <c r="W13" s="25">
        <v>0</v>
      </c>
      <c r="X13" s="5"/>
      <c r="Y13" s="25">
        <v>520000</v>
      </c>
      <c r="Z13" s="25">
        <v>0</v>
      </c>
      <c r="AA13" s="26"/>
      <c r="AB13" s="27">
        <v>530000</v>
      </c>
      <c r="AC13" s="29">
        <v>-363800</v>
      </c>
    </row>
    <row r="14" s="23" customFormat="1" ht="16.5" spans="1:29">
      <c r="A14" s="2" t="s">
        <v>42</v>
      </c>
      <c r="B14" s="3">
        <v>520000</v>
      </c>
      <c r="C14" s="4" t="s">
        <v>30</v>
      </c>
      <c r="D14" s="3"/>
      <c r="E14" s="3"/>
      <c r="F14" s="5"/>
      <c r="G14" s="25">
        <v>480000</v>
      </c>
      <c r="H14" s="25">
        <v>0</v>
      </c>
      <c r="I14" s="5"/>
      <c r="J14" s="25">
        <v>490000</v>
      </c>
      <c r="K14" s="25">
        <v>0</v>
      </c>
      <c r="L14" s="5"/>
      <c r="M14" s="25">
        <v>510000</v>
      </c>
      <c r="N14" s="25">
        <v>0</v>
      </c>
      <c r="O14" s="5"/>
      <c r="P14" s="25">
        <v>520000</v>
      </c>
      <c r="Q14" s="25">
        <v>1251360</v>
      </c>
      <c r="R14" s="5"/>
      <c r="S14" s="25"/>
      <c r="T14" s="25"/>
      <c r="U14" s="5"/>
      <c r="V14" s="25"/>
      <c r="W14" s="25"/>
      <c r="X14" s="5"/>
      <c r="Y14" s="25"/>
      <c r="Z14" s="25"/>
      <c r="AA14" s="26"/>
      <c r="AB14" s="27"/>
      <c r="AC14" s="27"/>
    </row>
    <row r="15" s="23" customFormat="1" ht="16.5" spans="1:29">
      <c r="A15" s="2" t="s">
        <v>43</v>
      </c>
      <c r="B15" s="3">
        <v>520000</v>
      </c>
      <c r="C15" s="4" t="s">
        <v>30</v>
      </c>
      <c r="D15" s="3">
        <v>380000</v>
      </c>
      <c r="E15" s="3">
        <v>190000</v>
      </c>
      <c r="F15" s="5"/>
      <c r="G15" s="25">
        <v>480000</v>
      </c>
      <c r="H15" s="25">
        <v>0</v>
      </c>
      <c r="I15" s="5"/>
      <c r="J15" s="25">
        <v>490000</v>
      </c>
      <c r="K15" s="25">
        <v>0</v>
      </c>
      <c r="L15" s="5"/>
      <c r="M15" s="25">
        <v>510000</v>
      </c>
      <c r="N15" s="25">
        <v>22032000</v>
      </c>
      <c r="O15" s="5"/>
      <c r="P15" s="25"/>
      <c r="Q15" s="25"/>
      <c r="R15" s="5"/>
      <c r="S15" s="25"/>
      <c r="T15" s="25"/>
      <c r="U15" s="5"/>
      <c r="V15" s="25"/>
      <c r="W15" s="25"/>
      <c r="X15" s="5"/>
      <c r="Y15" s="25"/>
      <c r="Z15" s="25"/>
      <c r="AA15" s="26"/>
      <c r="AB15" s="27"/>
      <c r="AC15" s="27"/>
    </row>
    <row r="16" s="23" customFormat="1" ht="16.5" spans="1:29">
      <c r="A16" s="2" t="s">
        <v>44</v>
      </c>
      <c r="B16" s="3">
        <v>540000</v>
      </c>
      <c r="C16" s="4" t="s">
        <v>30</v>
      </c>
      <c r="D16" s="3"/>
      <c r="E16" s="3"/>
      <c r="F16" s="5"/>
      <c r="G16" s="25">
        <v>530000</v>
      </c>
      <c r="H16" s="25">
        <v>16920</v>
      </c>
      <c r="I16" s="5"/>
      <c r="J16" s="25"/>
      <c r="K16" s="25"/>
      <c r="L16" s="5"/>
      <c r="M16" s="25"/>
      <c r="N16" s="25"/>
      <c r="O16" s="5"/>
      <c r="P16" s="25"/>
      <c r="Q16" s="25"/>
      <c r="R16" s="5"/>
      <c r="S16" s="25"/>
      <c r="T16" s="25"/>
      <c r="U16" s="5"/>
      <c r="V16" s="25"/>
      <c r="W16" s="25"/>
      <c r="X16" s="5"/>
      <c r="Y16" s="25"/>
      <c r="Z16" s="25"/>
      <c r="AA16" s="26"/>
      <c r="AB16" s="27"/>
      <c r="AC16" s="27"/>
    </row>
    <row r="17" s="23" customFormat="1" ht="16.5" spans="1:29">
      <c r="A17" s="2" t="s">
        <v>45</v>
      </c>
      <c r="B17" s="3">
        <v>510000</v>
      </c>
      <c r="C17" s="4" t="s">
        <v>30</v>
      </c>
      <c r="D17" s="3"/>
      <c r="E17" s="3"/>
      <c r="F17" s="5"/>
      <c r="G17" s="25">
        <v>440000</v>
      </c>
      <c r="H17" s="25">
        <v>0</v>
      </c>
      <c r="I17" s="5"/>
      <c r="J17" s="25">
        <v>450000</v>
      </c>
      <c r="K17" s="25">
        <v>0</v>
      </c>
      <c r="L17" s="5"/>
      <c r="M17" s="25">
        <v>470000</v>
      </c>
      <c r="N17" s="25">
        <v>0</v>
      </c>
      <c r="O17" s="5"/>
      <c r="P17" s="25">
        <v>500000</v>
      </c>
      <c r="Q17" s="25">
        <v>0</v>
      </c>
      <c r="R17" s="5"/>
      <c r="S17" s="25">
        <v>520000</v>
      </c>
      <c r="T17" s="28">
        <v>-88738865.75</v>
      </c>
      <c r="U17" s="5"/>
      <c r="V17" s="25"/>
      <c r="W17" s="25"/>
      <c r="X17" s="5"/>
      <c r="Y17" s="25"/>
      <c r="Z17" s="25"/>
      <c r="AA17" s="26"/>
      <c r="AB17" s="27"/>
      <c r="AC17" s="27"/>
    </row>
    <row r="18" s="23" customFormat="1" ht="16.5" spans="1:29">
      <c r="A18" s="2" t="s">
        <v>46</v>
      </c>
      <c r="B18" s="3">
        <v>525000</v>
      </c>
      <c r="C18" s="4" t="s">
        <v>30</v>
      </c>
      <c r="D18" s="3"/>
      <c r="E18" s="3"/>
      <c r="F18" s="5"/>
      <c r="G18" s="25">
        <v>465000</v>
      </c>
      <c r="H18" s="25">
        <v>0</v>
      </c>
      <c r="I18" s="5"/>
      <c r="J18" s="25">
        <v>495000</v>
      </c>
      <c r="K18" s="25">
        <v>846480</v>
      </c>
      <c r="L18" s="5"/>
      <c r="M18" s="25"/>
      <c r="N18" s="25"/>
      <c r="O18" s="5"/>
      <c r="P18" s="25"/>
      <c r="Q18" s="25"/>
      <c r="R18" s="5"/>
      <c r="S18" s="25"/>
      <c r="T18" s="25"/>
      <c r="U18" s="5"/>
      <c r="V18" s="25"/>
      <c r="W18" s="25"/>
      <c r="X18" s="5"/>
      <c r="Y18" s="25"/>
      <c r="Z18" s="25"/>
      <c r="AA18" s="26"/>
      <c r="AB18" s="27"/>
      <c r="AC18" s="27"/>
    </row>
    <row r="19" s="23" customFormat="1" ht="16.5" spans="1:29">
      <c r="A19" s="2" t="s">
        <v>47</v>
      </c>
      <c r="B19" s="3">
        <v>500000</v>
      </c>
      <c r="C19" s="4" t="s">
        <v>30</v>
      </c>
      <c r="D19" s="3"/>
      <c r="E19" s="3"/>
      <c r="F19" s="5"/>
      <c r="G19" s="25">
        <v>430000</v>
      </c>
      <c r="H19" s="25">
        <v>0</v>
      </c>
      <c r="I19" s="5"/>
      <c r="J19" s="25">
        <v>470000</v>
      </c>
      <c r="K19" s="25">
        <v>0</v>
      </c>
      <c r="L19" s="5"/>
      <c r="M19" s="25">
        <v>490000</v>
      </c>
      <c r="N19" s="25">
        <v>215652525</v>
      </c>
      <c r="O19" s="5"/>
      <c r="P19" s="25">
        <v>500000</v>
      </c>
      <c r="Q19" s="25">
        <v>500000000</v>
      </c>
      <c r="R19" s="5"/>
      <c r="S19" s="25"/>
      <c r="T19" s="25"/>
      <c r="U19" s="5"/>
      <c r="V19" s="25"/>
      <c r="W19" s="25"/>
      <c r="X19" s="5"/>
      <c r="Y19" s="25"/>
      <c r="Z19" s="25"/>
      <c r="AA19" s="26"/>
      <c r="AB19" s="27"/>
      <c r="AC19" s="27"/>
    </row>
    <row r="20" s="23" customFormat="1" ht="16.5" spans="1:29">
      <c r="A20" s="2" t="s">
        <v>48</v>
      </c>
      <c r="B20" s="3">
        <v>515000</v>
      </c>
      <c r="C20" s="4" t="s">
        <v>30</v>
      </c>
      <c r="D20" s="3"/>
      <c r="E20" s="3"/>
      <c r="F20" s="5"/>
      <c r="G20" s="25">
        <v>445000</v>
      </c>
      <c r="H20" s="25">
        <v>0</v>
      </c>
      <c r="I20" s="5"/>
      <c r="J20" s="25">
        <v>475000</v>
      </c>
      <c r="K20" s="25">
        <v>434057045</v>
      </c>
      <c r="L20" s="5"/>
      <c r="M20" s="25"/>
      <c r="N20" s="25"/>
      <c r="O20" s="5"/>
      <c r="P20" s="25"/>
      <c r="Q20" s="25"/>
      <c r="R20" s="5"/>
      <c r="S20" s="25"/>
      <c r="T20" s="25"/>
      <c r="U20" s="5"/>
      <c r="V20" s="25"/>
      <c r="W20" s="25"/>
      <c r="X20" s="5"/>
      <c r="Y20" s="25"/>
      <c r="Z20" s="25"/>
      <c r="AA20" s="26"/>
      <c r="AB20" s="27"/>
      <c r="AC20" s="27"/>
    </row>
    <row r="21" s="23" customFormat="1" ht="16.5" spans="1:29">
      <c r="A21" s="2" t="s">
        <v>49</v>
      </c>
      <c r="B21" s="3">
        <v>525000</v>
      </c>
      <c r="C21" s="4" t="s">
        <v>30</v>
      </c>
      <c r="D21" s="3"/>
      <c r="E21" s="3"/>
      <c r="F21" s="5"/>
      <c r="G21" s="25">
        <v>455000</v>
      </c>
      <c r="H21" s="25">
        <v>0</v>
      </c>
      <c r="I21" s="5"/>
      <c r="J21" s="25">
        <v>515000</v>
      </c>
      <c r="K21" s="25">
        <v>220703770</v>
      </c>
      <c r="L21" s="5"/>
      <c r="M21" s="25"/>
      <c r="N21" s="25"/>
      <c r="O21" s="5"/>
      <c r="P21" s="25"/>
      <c r="Q21" s="25"/>
      <c r="R21" s="5"/>
      <c r="S21" s="25"/>
      <c r="T21" s="25"/>
      <c r="U21" s="5"/>
      <c r="V21" s="25"/>
      <c r="W21" s="25"/>
      <c r="X21" s="5"/>
      <c r="Y21" s="25"/>
      <c r="Z21" s="25"/>
      <c r="AA21" s="26"/>
      <c r="AB21" s="27"/>
      <c r="AC21" s="27"/>
    </row>
    <row r="22" s="23" customFormat="1" ht="16.5" spans="1:29">
      <c r="A22" s="2" t="s">
        <v>50</v>
      </c>
      <c r="B22" s="3">
        <v>520000</v>
      </c>
      <c r="C22" s="4" t="s">
        <v>30</v>
      </c>
      <c r="D22" s="3"/>
      <c r="E22" s="3"/>
      <c r="F22" s="5"/>
      <c r="G22" s="25">
        <v>450000</v>
      </c>
      <c r="H22" s="25">
        <v>0</v>
      </c>
      <c r="I22" s="5"/>
      <c r="J22" s="25">
        <v>460000</v>
      </c>
      <c r="K22" s="25">
        <v>7370045.5</v>
      </c>
      <c r="L22" s="5"/>
      <c r="M22" s="25"/>
      <c r="N22" s="25"/>
      <c r="O22" s="5"/>
      <c r="P22" s="25"/>
      <c r="Q22" s="25"/>
      <c r="R22" s="5"/>
      <c r="S22" s="25"/>
      <c r="T22" s="25"/>
      <c r="U22" s="5"/>
      <c r="V22" s="25"/>
      <c r="W22" s="25"/>
      <c r="X22" s="5"/>
      <c r="Y22" s="25"/>
      <c r="Z22" s="25"/>
      <c r="AA22" s="26"/>
      <c r="AB22" s="27"/>
      <c r="AC22" s="27"/>
    </row>
    <row r="23" s="23" customFormat="1" ht="16.5" spans="1:29">
      <c r="A23" s="2" t="s">
        <v>51</v>
      </c>
      <c r="B23" s="3">
        <v>515000</v>
      </c>
      <c r="C23" s="4" t="s">
        <v>30</v>
      </c>
      <c r="D23" s="3"/>
      <c r="E23" s="3"/>
      <c r="F23" s="5"/>
      <c r="G23" s="25">
        <v>445000</v>
      </c>
      <c r="H23" s="25">
        <v>62173237.5</v>
      </c>
      <c r="I23" s="5"/>
      <c r="J23" s="25"/>
      <c r="K23" s="25"/>
      <c r="L23" s="5"/>
      <c r="M23" s="25"/>
      <c r="N23" s="25"/>
      <c r="O23" s="5"/>
      <c r="P23" s="25"/>
      <c r="Q23" s="25"/>
      <c r="R23" s="5"/>
      <c r="S23" s="25"/>
      <c r="T23" s="25"/>
      <c r="U23" s="5"/>
      <c r="V23" s="25"/>
      <c r="W23" s="25"/>
      <c r="X23" s="5"/>
      <c r="Y23" s="25"/>
      <c r="Z23" s="25"/>
      <c r="AA23" s="26"/>
      <c r="AB23" s="27"/>
      <c r="AC23" s="27"/>
    </row>
    <row r="24" s="23" customFormat="1" ht="16.5" spans="1:29">
      <c r="A24" s="2" t="s">
        <v>52</v>
      </c>
      <c r="B24" s="3">
        <v>530000</v>
      </c>
      <c r="C24" s="4" t="s">
        <v>30</v>
      </c>
      <c r="D24" s="3"/>
      <c r="E24" s="3"/>
      <c r="F24" s="5"/>
      <c r="G24" s="25">
        <v>490000</v>
      </c>
      <c r="H24" s="25">
        <v>0</v>
      </c>
      <c r="I24" s="5"/>
      <c r="J24" s="25">
        <v>500000</v>
      </c>
      <c r="K24" s="25">
        <v>0</v>
      </c>
      <c r="L24" s="5"/>
      <c r="M24" s="25">
        <v>540000</v>
      </c>
      <c r="N24" s="25">
        <v>0</v>
      </c>
      <c r="O24" s="5"/>
      <c r="P24" s="25"/>
      <c r="Q24" s="25"/>
      <c r="R24" s="5"/>
      <c r="S24" s="25"/>
      <c r="T24" s="25"/>
      <c r="U24" s="5"/>
      <c r="V24" s="25"/>
      <c r="W24" s="25"/>
      <c r="X24" s="5"/>
      <c r="Y24" s="25"/>
      <c r="Z24" s="25"/>
      <c r="AA24" s="26"/>
      <c r="AB24" s="27"/>
      <c r="AC24" s="27"/>
    </row>
    <row r="25" s="23" customFormat="1" ht="16.5" spans="1:29">
      <c r="A25" s="2" t="s">
        <v>53</v>
      </c>
      <c r="B25" s="3">
        <v>520000</v>
      </c>
      <c r="C25" s="4" t="s">
        <v>30</v>
      </c>
      <c r="D25" s="3"/>
      <c r="E25" s="3"/>
      <c r="F25" s="5"/>
      <c r="G25" s="25">
        <v>455000</v>
      </c>
      <c r="H25" s="25">
        <v>0</v>
      </c>
      <c r="I25" s="5"/>
      <c r="J25" s="25">
        <v>465000</v>
      </c>
      <c r="K25" s="25">
        <v>0</v>
      </c>
      <c r="L25" s="5"/>
      <c r="M25" s="25">
        <v>470000</v>
      </c>
      <c r="N25" s="25">
        <v>0</v>
      </c>
      <c r="O25" s="5"/>
      <c r="P25" s="25">
        <v>500000</v>
      </c>
      <c r="Q25" s="25">
        <v>0</v>
      </c>
      <c r="R25" s="5"/>
      <c r="S25" s="25">
        <v>510000</v>
      </c>
      <c r="T25" s="25">
        <v>0</v>
      </c>
      <c r="U25" s="5"/>
      <c r="V25" s="25">
        <v>520000</v>
      </c>
      <c r="W25" s="25">
        <v>2236510</v>
      </c>
      <c r="X25" s="5"/>
      <c r="Y25" s="25"/>
      <c r="Z25" s="25"/>
      <c r="AA25" s="26"/>
      <c r="AB25" s="27"/>
      <c r="AC25" s="27"/>
    </row>
    <row r="26" s="23" customFormat="1" ht="16.5" spans="1:29">
      <c r="A26" s="2" t="s">
        <v>54</v>
      </c>
      <c r="B26" s="3">
        <v>500000</v>
      </c>
      <c r="C26" s="4" t="s">
        <v>30</v>
      </c>
      <c r="D26" s="3">
        <v>360000</v>
      </c>
      <c r="E26" s="3">
        <v>190000</v>
      </c>
      <c r="F26" s="5"/>
      <c r="G26" s="25">
        <v>430000</v>
      </c>
      <c r="H26" s="25">
        <v>0</v>
      </c>
      <c r="I26" s="5"/>
      <c r="J26" s="25">
        <v>440000</v>
      </c>
      <c r="K26" s="25">
        <v>0</v>
      </c>
      <c r="L26" s="5"/>
      <c r="M26" s="25">
        <v>460000</v>
      </c>
      <c r="N26" s="25">
        <v>0</v>
      </c>
      <c r="O26" s="5"/>
      <c r="P26" s="25">
        <v>490000</v>
      </c>
      <c r="Q26" s="25">
        <v>0</v>
      </c>
      <c r="R26" s="5"/>
      <c r="S26" s="25">
        <v>510000</v>
      </c>
      <c r="T26" s="25">
        <v>0</v>
      </c>
      <c r="U26" s="5"/>
      <c r="V26" s="25">
        <v>500000</v>
      </c>
      <c r="W26" s="28">
        <v>-20292816.5</v>
      </c>
      <c r="X26" s="5"/>
      <c r="Y26" s="25"/>
      <c r="Z26" s="25"/>
      <c r="AA26" s="26"/>
      <c r="AB26" s="27"/>
      <c r="AC26" s="27"/>
    </row>
    <row r="27" s="23" customFormat="1" ht="16.5" spans="1:29">
      <c r="A27" s="2" t="s">
        <v>55</v>
      </c>
      <c r="B27" s="3">
        <v>520000</v>
      </c>
      <c r="C27" s="4" t="s">
        <v>30</v>
      </c>
      <c r="D27" s="3"/>
      <c r="E27" s="3"/>
      <c r="F27" s="5"/>
      <c r="G27" s="25">
        <v>460000</v>
      </c>
      <c r="H27" s="25">
        <v>0</v>
      </c>
      <c r="I27" s="5"/>
      <c r="J27" s="25"/>
      <c r="K27" s="25"/>
      <c r="L27" s="5"/>
      <c r="M27" s="25"/>
      <c r="N27" s="25"/>
      <c r="O27" s="5"/>
      <c r="P27" s="25"/>
      <c r="Q27" s="25"/>
      <c r="R27" s="5"/>
      <c r="S27" s="25"/>
      <c r="T27" s="25"/>
      <c r="U27" s="5"/>
      <c r="V27" s="25"/>
      <c r="W27" s="25"/>
      <c r="X27" s="5"/>
      <c r="Y27" s="25"/>
      <c r="Z27" s="25"/>
      <c r="AA27" s="26"/>
      <c r="AB27" s="27"/>
      <c r="AC27" s="27"/>
    </row>
    <row r="28" s="23" customFormat="1" ht="16.5" spans="1:29">
      <c r="A28" s="2" t="s">
        <v>56</v>
      </c>
      <c r="B28" s="3">
        <v>530000</v>
      </c>
      <c r="C28" s="4" t="s">
        <v>30</v>
      </c>
      <c r="D28" s="3"/>
      <c r="E28" s="3"/>
      <c r="F28" s="5"/>
      <c r="G28" s="25">
        <v>460000</v>
      </c>
      <c r="H28" s="25">
        <v>0</v>
      </c>
      <c r="I28" s="5"/>
      <c r="J28" s="25">
        <v>490000</v>
      </c>
      <c r="K28" s="25">
        <v>0</v>
      </c>
      <c r="L28" s="5"/>
      <c r="M28" s="25">
        <v>500000</v>
      </c>
      <c r="N28" s="25">
        <v>0</v>
      </c>
      <c r="O28" s="5"/>
      <c r="P28" s="25">
        <v>530000</v>
      </c>
      <c r="Q28" s="25">
        <v>1248600</v>
      </c>
      <c r="R28" s="5"/>
      <c r="S28" s="25"/>
      <c r="T28" s="25"/>
      <c r="U28" s="5"/>
      <c r="V28" s="25"/>
      <c r="W28" s="25"/>
      <c r="X28" s="5"/>
      <c r="Y28" s="25"/>
      <c r="Z28" s="25"/>
      <c r="AA28" s="26"/>
      <c r="AB28" s="27"/>
      <c r="AC28" s="27"/>
    </row>
    <row r="29" s="23" customFormat="1" ht="16.5" spans="1:29">
      <c r="A29" s="2" t="s">
        <v>57</v>
      </c>
      <c r="B29" s="3">
        <v>510000</v>
      </c>
      <c r="C29" s="4" t="s">
        <v>30</v>
      </c>
      <c r="D29" s="3">
        <v>380000</v>
      </c>
      <c r="E29" s="3">
        <v>190000</v>
      </c>
      <c r="F29" s="5"/>
      <c r="G29" s="25">
        <v>450000</v>
      </c>
      <c r="H29" s="25">
        <v>0</v>
      </c>
      <c r="I29" s="5"/>
      <c r="J29" s="25">
        <v>470000</v>
      </c>
      <c r="K29" s="25">
        <v>0</v>
      </c>
      <c r="L29" s="5"/>
      <c r="M29" s="25">
        <v>480000</v>
      </c>
      <c r="N29" s="25">
        <v>0</v>
      </c>
      <c r="O29" s="5"/>
      <c r="P29" s="25">
        <v>500000</v>
      </c>
      <c r="Q29" s="25">
        <v>0</v>
      </c>
      <c r="R29" s="5"/>
      <c r="S29" s="25">
        <v>520000</v>
      </c>
      <c r="T29" s="25">
        <v>0</v>
      </c>
      <c r="U29" s="5"/>
      <c r="V29" s="25">
        <v>510000</v>
      </c>
      <c r="W29" s="25">
        <v>5480000</v>
      </c>
      <c r="X29" s="5"/>
      <c r="Y29" s="25"/>
      <c r="Z29" s="25"/>
      <c r="AA29" s="26"/>
      <c r="AB29" s="27"/>
      <c r="AC29" s="27"/>
    </row>
    <row r="30" s="23" customFormat="1" ht="16.5" spans="1:29">
      <c r="A30" s="2" t="s">
        <v>58</v>
      </c>
      <c r="B30" s="3">
        <v>510000</v>
      </c>
      <c r="C30" s="4" t="s">
        <v>30</v>
      </c>
      <c r="D30" s="3"/>
      <c r="E30" s="3"/>
      <c r="F30" s="5"/>
      <c r="G30" s="25">
        <v>450000</v>
      </c>
      <c r="H30" s="25">
        <v>0</v>
      </c>
      <c r="I30" s="5"/>
      <c r="J30" s="25">
        <v>480000</v>
      </c>
      <c r="K30" s="25">
        <v>0</v>
      </c>
      <c r="L30" s="5"/>
      <c r="M30" s="25">
        <v>500000</v>
      </c>
      <c r="N30" s="25">
        <v>0</v>
      </c>
      <c r="O30" s="5"/>
      <c r="P30" s="25">
        <v>510000</v>
      </c>
      <c r="Q30" s="25">
        <v>0</v>
      </c>
      <c r="R30" s="5"/>
      <c r="S30" s="25">
        <v>510000</v>
      </c>
      <c r="T30" s="25">
        <v>730480.25</v>
      </c>
      <c r="U30" s="5"/>
      <c r="V30" s="25"/>
      <c r="W30" s="25"/>
      <c r="X30" s="5"/>
      <c r="Y30" s="25"/>
      <c r="Z30" s="25"/>
      <c r="AA30" s="26"/>
      <c r="AB30" s="27"/>
      <c r="AC30" s="27"/>
    </row>
    <row r="31" s="23" customFormat="1" ht="16.5" spans="1:29">
      <c r="A31" s="2" t="s">
        <v>59</v>
      </c>
      <c r="B31" s="3">
        <v>510000</v>
      </c>
      <c r="C31" s="4" t="s">
        <v>30</v>
      </c>
      <c r="D31" s="3"/>
      <c r="E31" s="3"/>
      <c r="F31" s="5"/>
      <c r="G31" s="25">
        <v>440000</v>
      </c>
      <c r="H31" s="25">
        <v>0</v>
      </c>
      <c r="I31" s="5"/>
      <c r="J31" s="25">
        <v>450000</v>
      </c>
      <c r="K31" s="25">
        <v>0</v>
      </c>
      <c r="L31" s="5"/>
      <c r="M31" s="25">
        <v>470000</v>
      </c>
      <c r="N31" s="25">
        <v>0</v>
      </c>
      <c r="O31" s="5"/>
      <c r="P31" s="25">
        <v>500000</v>
      </c>
      <c r="Q31" s="25">
        <v>0</v>
      </c>
      <c r="R31" s="5"/>
      <c r="S31" s="25">
        <v>510000</v>
      </c>
      <c r="T31" s="25">
        <v>52665147.13</v>
      </c>
      <c r="U31" s="5"/>
      <c r="V31" s="25"/>
      <c r="W31" s="25"/>
      <c r="X31" s="5"/>
      <c r="Y31" s="25"/>
      <c r="Z31" s="25"/>
      <c r="AA31" s="26"/>
      <c r="AB31" s="27"/>
      <c r="AC31" s="27"/>
    </row>
    <row r="32" s="23" customFormat="1" ht="16.5" spans="1:29">
      <c r="A32" s="2" t="s">
        <v>60</v>
      </c>
      <c r="B32" s="3">
        <v>530000</v>
      </c>
      <c r="C32" s="4" t="s">
        <v>30</v>
      </c>
      <c r="D32" s="3"/>
      <c r="E32" s="3"/>
      <c r="F32" s="5"/>
      <c r="G32" s="25">
        <v>460000</v>
      </c>
      <c r="H32" s="25">
        <v>0</v>
      </c>
      <c r="I32" s="5"/>
      <c r="J32" s="25">
        <v>470000</v>
      </c>
      <c r="K32" s="25">
        <v>0</v>
      </c>
      <c r="L32" s="5"/>
      <c r="M32" s="25">
        <v>520000</v>
      </c>
      <c r="N32" s="25">
        <v>0</v>
      </c>
      <c r="O32" s="5"/>
      <c r="P32" s="25">
        <v>530000</v>
      </c>
      <c r="Q32" s="25">
        <v>13259415</v>
      </c>
      <c r="R32" s="5"/>
      <c r="S32" s="25"/>
      <c r="T32" s="25"/>
      <c r="U32" s="5"/>
      <c r="V32" s="25"/>
      <c r="W32" s="25"/>
      <c r="X32" s="5"/>
      <c r="Y32" s="25"/>
      <c r="Z32" s="25"/>
      <c r="AA32" s="26"/>
      <c r="AB32" s="27"/>
      <c r="AC32" s="27"/>
    </row>
    <row r="33" s="23" customFormat="1" ht="16.5" spans="1:29">
      <c r="A33" s="2" t="s">
        <v>61</v>
      </c>
      <c r="B33" s="3">
        <v>510000</v>
      </c>
      <c r="C33" s="4" t="s">
        <v>30</v>
      </c>
      <c r="D33" s="3"/>
      <c r="E33" s="3"/>
      <c r="F33" s="5"/>
      <c r="G33" s="25">
        <v>440000</v>
      </c>
      <c r="H33" s="25">
        <v>0</v>
      </c>
      <c r="I33" s="5"/>
      <c r="J33" s="25">
        <v>450000</v>
      </c>
      <c r="K33" s="25">
        <v>0</v>
      </c>
      <c r="L33" s="5"/>
      <c r="M33" s="25">
        <v>470000</v>
      </c>
      <c r="N33" s="25">
        <v>37198700</v>
      </c>
      <c r="O33" s="5"/>
      <c r="P33" s="25"/>
      <c r="Q33" s="25"/>
      <c r="R33" s="5"/>
      <c r="S33" s="25"/>
      <c r="T33" s="25"/>
      <c r="U33" s="5"/>
      <c r="V33" s="25"/>
      <c r="W33" s="25"/>
      <c r="X33" s="5"/>
      <c r="Y33" s="25"/>
      <c r="Z33" s="25"/>
      <c r="AA33" s="26"/>
      <c r="AB33" s="27"/>
      <c r="AC33" s="27"/>
    </row>
    <row r="34" s="23" customFormat="1" ht="16.5" spans="1:29">
      <c r="A34" s="2" t="s">
        <v>62</v>
      </c>
      <c r="B34" s="3">
        <v>510000</v>
      </c>
      <c r="C34" s="4" t="s">
        <v>30</v>
      </c>
      <c r="D34" s="30">
        <v>390000</v>
      </c>
      <c r="E34" s="30">
        <v>200000</v>
      </c>
      <c r="F34" s="5"/>
      <c r="G34" s="25">
        <v>440000</v>
      </c>
      <c r="H34" s="25">
        <v>1023091.53</v>
      </c>
      <c r="I34" s="5"/>
      <c r="J34" s="25"/>
      <c r="K34" s="25"/>
      <c r="L34" s="5"/>
      <c r="M34" s="25"/>
      <c r="N34" s="25"/>
      <c r="O34" s="5"/>
      <c r="P34" s="25"/>
      <c r="Q34" s="25"/>
      <c r="R34" s="5"/>
      <c r="S34" s="25"/>
      <c r="T34" s="25"/>
      <c r="U34" s="5"/>
      <c r="V34" s="25"/>
      <c r="W34" s="25"/>
      <c r="X34" s="5"/>
      <c r="Y34" s="25"/>
      <c r="Z34" s="25"/>
      <c r="AA34" s="26"/>
      <c r="AB34" s="27"/>
      <c r="AC34" s="27"/>
    </row>
    <row r="35" s="23" customFormat="1" ht="16.5" spans="1:29">
      <c r="A35" s="2" t="s">
        <v>63</v>
      </c>
      <c r="B35" s="3">
        <v>510000</v>
      </c>
      <c r="C35" s="4" t="s">
        <v>30</v>
      </c>
      <c r="D35" s="3">
        <v>390000</v>
      </c>
      <c r="E35" s="3">
        <v>170000</v>
      </c>
      <c r="F35" s="5"/>
      <c r="G35" s="25"/>
      <c r="H35" s="25"/>
      <c r="I35" s="5"/>
      <c r="J35" s="25"/>
      <c r="K35" s="25"/>
      <c r="L35" s="5"/>
      <c r="M35" s="25"/>
      <c r="N35" s="25"/>
      <c r="O35" s="5"/>
      <c r="P35" s="25"/>
      <c r="Q35" s="25"/>
      <c r="R35" s="5"/>
      <c r="S35" s="25"/>
      <c r="T35" s="25"/>
      <c r="U35" s="5"/>
      <c r="V35" s="25"/>
      <c r="W35" s="25"/>
      <c r="X35" s="5"/>
      <c r="Y35" s="25"/>
      <c r="Z35" s="25"/>
      <c r="AA35" s="26"/>
      <c r="AB35" s="27"/>
      <c r="AC35" s="27"/>
    </row>
    <row r="36" s="23" customFormat="1" ht="16.5" spans="1:29">
      <c r="A36" s="2" t="s">
        <v>64</v>
      </c>
      <c r="B36" s="3">
        <v>540000</v>
      </c>
      <c r="C36" s="4" t="s">
        <v>30</v>
      </c>
      <c r="D36" s="6"/>
      <c r="E36" s="6"/>
      <c r="F36" s="5"/>
      <c r="G36" s="31">
        <v>530000</v>
      </c>
      <c r="H36" s="31">
        <v>0</v>
      </c>
      <c r="I36" s="5"/>
      <c r="J36" s="31"/>
      <c r="K36" s="31"/>
      <c r="L36" s="5"/>
      <c r="M36" s="31"/>
      <c r="N36" s="31"/>
      <c r="O36" s="5"/>
      <c r="P36" s="31"/>
      <c r="Q36" s="31"/>
      <c r="R36" s="5"/>
      <c r="S36" s="31"/>
      <c r="T36" s="31"/>
      <c r="U36" s="5"/>
      <c r="V36" s="25"/>
      <c r="W36" s="25"/>
      <c r="X36" s="5"/>
      <c r="Y36" s="25"/>
      <c r="Z36" s="25"/>
      <c r="AA36" s="26"/>
      <c r="AB36" s="27"/>
      <c r="AC36" s="27"/>
    </row>
    <row r="37" s="23" customFormat="1" ht="16.5" spans="1:29">
      <c r="A37" s="2" t="s">
        <v>65</v>
      </c>
      <c r="B37" s="3">
        <v>510000</v>
      </c>
      <c r="C37" s="32" t="s">
        <v>30</v>
      </c>
      <c r="D37" s="3">
        <v>380000</v>
      </c>
      <c r="E37" s="3">
        <v>170000</v>
      </c>
      <c r="F37" s="5"/>
      <c r="G37" s="25">
        <v>0</v>
      </c>
      <c r="H37" s="25">
        <v>0</v>
      </c>
      <c r="I37" s="5"/>
      <c r="J37" s="25">
        <v>500000</v>
      </c>
      <c r="K37" s="25">
        <v>50155000</v>
      </c>
      <c r="L37" s="5"/>
      <c r="M37" s="25"/>
      <c r="N37" s="25"/>
      <c r="O37" s="5"/>
      <c r="P37" s="25"/>
      <c r="Q37" s="25"/>
      <c r="R37" s="5"/>
      <c r="S37" s="25"/>
      <c r="T37" s="25"/>
      <c r="U37" s="5"/>
      <c r="V37" s="25"/>
      <c r="W37" s="25"/>
      <c r="X37" s="5"/>
      <c r="Y37" s="25"/>
      <c r="Z37" s="25"/>
      <c r="AA37" s="26"/>
      <c r="AB37" s="27"/>
      <c r="AC37" s="27"/>
    </row>
    <row r="38" s="23" customFormat="1" ht="16.5" spans="1:29">
      <c r="A38" s="2" t="s">
        <v>66</v>
      </c>
      <c r="B38" s="3">
        <v>500000</v>
      </c>
      <c r="C38" s="32" t="s">
        <v>30</v>
      </c>
      <c r="D38" s="3">
        <v>350000</v>
      </c>
      <c r="E38" s="3">
        <v>170000</v>
      </c>
      <c r="F38" s="5"/>
      <c r="G38" s="25">
        <v>440000</v>
      </c>
      <c r="H38" s="25">
        <v>0</v>
      </c>
      <c r="I38" s="5"/>
      <c r="J38" s="25">
        <v>460000</v>
      </c>
      <c r="K38" s="25">
        <v>0</v>
      </c>
      <c r="L38" s="5"/>
      <c r="M38" s="25">
        <v>470000</v>
      </c>
      <c r="N38" s="25">
        <v>0</v>
      </c>
      <c r="O38" s="5"/>
      <c r="P38" s="25">
        <v>490000</v>
      </c>
      <c r="Q38" s="25">
        <v>256450343</v>
      </c>
      <c r="R38" s="5"/>
      <c r="S38" s="25">
        <v>500000</v>
      </c>
      <c r="T38" s="25">
        <v>500000000</v>
      </c>
      <c r="U38" s="5"/>
      <c r="V38" s="25"/>
      <c r="W38" s="25"/>
      <c r="X38" s="5"/>
      <c r="Y38" s="25"/>
      <c r="Z38" s="25"/>
      <c r="AA38" s="26"/>
      <c r="AB38" s="27"/>
      <c r="AC38" s="27"/>
    </row>
    <row r="39" s="23" customFormat="1" ht="16.5" spans="1:29">
      <c r="A39" s="2" t="s">
        <v>67</v>
      </c>
      <c r="B39" s="3">
        <v>500000</v>
      </c>
      <c r="C39" s="32" t="s">
        <v>30</v>
      </c>
      <c r="D39" s="3">
        <v>350000</v>
      </c>
      <c r="E39" s="3">
        <v>170000</v>
      </c>
      <c r="F39" s="5"/>
      <c r="G39" s="25">
        <v>440000</v>
      </c>
      <c r="H39" s="25">
        <v>0</v>
      </c>
      <c r="I39" s="5"/>
      <c r="J39" s="25">
        <v>460000</v>
      </c>
      <c r="K39" s="25">
        <v>0</v>
      </c>
      <c r="L39" s="5"/>
      <c r="M39" s="25">
        <v>470000</v>
      </c>
      <c r="N39" s="25">
        <v>0</v>
      </c>
      <c r="O39" s="5"/>
      <c r="P39" s="25">
        <v>490000</v>
      </c>
      <c r="Q39" s="25">
        <v>288862575.55</v>
      </c>
      <c r="R39" s="5"/>
      <c r="S39" s="25">
        <v>500000</v>
      </c>
      <c r="T39" s="25">
        <v>500000000</v>
      </c>
      <c r="U39" s="5"/>
      <c r="V39" s="25"/>
      <c r="W39" s="25"/>
      <c r="X39" s="5"/>
      <c r="Y39" s="25"/>
      <c r="Z39" s="25"/>
      <c r="AA39" s="26"/>
      <c r="AB39" s="27"/>
      <c r="AC39" s="27"/>
    </row>
    <row r="40" s="23" customFormat="1" ht="16.5" spans="1:29">
      <c r="A40" s="2" t="s">
        <v>68</v>
      </c>
      <c r="B40" s="3" t="s">
        <v>69</v>
      </c>
      <c r="C40" s="33" t="s">
        <v>70</v>
      </c>
      <c r="D40" s="3">
        <v>350000</v>
      </c>
      <c r="E40" s="3">
        <v>170000</v>
      </c>
      <c r="F40" s="5"/>
      <c r="G40" s="25">
        <v>430000</v>
      </c>
      <c r="H40" s="25">
        <v>0</v>
      </c>
      <c r="I40" s="5"/>
      <c r="J40" s="25">
        <v>440000</v>
      </c>
      <c r="K40" s="25">
        <v>68779183</v>
      </c>
      <c r="L40" s="5"/>
      <c r="M40" s="25"/>
      <c r="N40" s="25"/>
      <c r="O40" s="5"/>
      <c r="P40" s="25"/>
      <c r="Q40" s="25"/>
      <c r="R40" s="5"/>
      <c r="S40" s="25"/>
      <c r="T40" s="25"/>
      <c r="U40" s="5"/>
      <c r="V40" s="25"/>
      <c r="W40" s="25"/>
      <c r="X40" s="5"/>
      <c r="Y40" s="25"/>
      <c r="Z40" s="25"/>
      <c r="AA40" s="26"/>
      <c r="AB40" s="27"/>
      <c r="AC40" s="27"/>
    </row>
    <row r="41" s="23" customFormat="1" ht="16.5" spans="1:29">
      <c r="A41" s="2" t="s">
        <v>71</v>
      </c>
      <c r="B41" s="3" t="s">
        <v>69</v>
      </c>
      <c r="C41" s="33" t="s">
        <v>70</v>
      </c>
      <c r="D41" s="3">
        <v>350000</v>
      </c>
      <c r="E41" s="3">
        <v>170000</v>
      </c>
      <c r="F41" s="5"/>
      <c r="G41" s="25">
        <v>430000</v>
      </c>
      <c r="H41" s="25">
        <v>0</v>
      </c>
      <c r="I41" s="5"/>
      <c r="J41" s="25">
        <v>440000</v>
      </c>
      <c r="K41" s="25">
        <v>48922249.3</v>
      </c>
      <c r="L41" s="5"/>
      <c r="M41" s="25"/>
      <c r="N41" s="25"/>
      <c r="O41" s="5"/>
      <c r="P41" s="25"/>
      <c r="Q41" s="25"/>
      <c r="R41" s="5"/>
      <c r="S41" s="25"/>
      <c r="T41" s="25"/>
      <c r="U41" s="5"/>
      <c r="V41" s="25"/>
      <c r="W41" s="25"/>
      <c r="X41" s="5"/>
      <c r="Y41" s="25"/>
      <c r="Z41" s="25"/>
      <c r="AA41" s="26"/>
      <c r="AB41" s="27"/>
      <c r="AC41" s="27"/>
    </row>
    <row r="42" s="23" customFormat="1" ht="16.5" spans="1:29">
      <c r="A42" s="34" t="s">
        <v>72</v>
      </c>
      <c r="B42" s="35">
        <v>530000</v>
      </c>
      <c r="C42" s="36" t="s">
        <v>30</v>
      </c>
      <c r="D42" s="35"/>
      <c r="E42" s="35"/>
      <c r="F42" s="26"/>
      <c r="G42" s="37">
        <v>540000</v>
      </c>
      <c r="H42" s="37">
        <v>0</v>
      </c>
      <c r="I42" s="26"/>
      <c r="J42" s="37"/>
      <c r="K42" s="37"/>
      <c r="L42" s="26"/>
      <c r="M42" s="37"/>
      <c r="N42" s="37"/>
      <c r="O42" s="26"/>
      <c r="P42" s="37"/>
      <c r="Q42" s="37"/>
      <c r="R42" s="26"/>
      <c r="S42" s="37"/>
      <c r="T42" s="37"/>
      <c r="U42" s="26"/>
      <c r="V42" s="37"/>
      <c r="W42" s="37"/>
      <c r="X42" s="26"/>
      <c r="Y42" s="37"/>
      <c r="Z42" s="37"/>
      <c r="AA42" s="26"/>
      <c r="AB42" s="27"/>
      <c r="AC42" s="27"/>
    </row>
    <row r="43" s="23" customFormat="1" ht="16.5" spans="1:29">
      <c r="A43" s="34" t="s">
        <v>73</v>
      </c>
      <c r="B43" s="35">
        <v>520000</v>
      </c>
      <c r="C43" s="36" t="s">
        <v>30</v>
      </c>
      <c r="D43" s="35"/>
      <c r="E43" s="35"/>
      <c r="F43" s="26"/>
      <c r="G43" s="37">
        <v>520000</v>
      </c>
      <c r="H43" s="37">
        <v>0</v>
      </c>
      <c r="I43" s="26"/>
      <c r="J43" s="37"/>
      <c r="K43" s="37"/>
      <c r="L43" s="26"/>
      <c r="M43" s="37"/>
      <c r="N43" s="37"/>
      <c r="O43" s="26"/>
      <c r="P43" s="37"/>
      <c r="Q43" s="37"/>
      <c r="R43" s="26"/>
      <c r="S43" s="37"/>
      <c r="T43" s="37"/>
      <c r="U43" s="26"/>
      <c r="V43" s="37"/>
      <c r="W43" s="37"/>
      <c r="X43" s="26"/>
      <c r="Y43" s="37"/>
      <c r="Z43" s="37"/>
      <c r="AA43" s="26"/>
      <c r="AB43" s="27"/>
      <c r="AC43" s="27"/>
    </row>
    <row r="44" s="23" customFormat="1" ht="16.5" spans="1:29">
      <c r="A44" s="34" t="s">
        <v>74</v>
      </c>
      <c r="B44" s="35">
        <v>530000</v>
      </c>
      <c r="C44" s="38" t="s">
        <v>70</v>
      </c>
      <c r="D44" s="35"/>
      <c r="E44" s="35"/>
      <c r="F44" s="26"/>
      <c r="G44" s="37">
        <v>540</v>
      </c>
      <c r="H44" s="37">
        <v>0</v>
      </c>
      <c r="I44" s="26"/>
      <c r="J44" s="37"/>
      <c r="K44" s="37"/>
      <c r="L44" s="26"/>
      <c r="M44" s="37"/>
      <c r="N44" s="37"/>
      <c r="O44" s="26"/>
      <c r="P44" s="37"/>
      <c r="Q44" s="37"/>
      <c r="R44" s="26"/>
      <c r="S44" s="37"/>
      <c r="T44" s="37"/>
      <c r="U44" s="26"/>
      <c r="V44" s="37"/>
      <c r="W44" s="37"/>
      <c r="X44" s="26"/>
      <c r="Y44" s="37"/>
      <c r="Z44" s="37"/>
      <c r="AA44" s="26"/>
      <c r="AB44" s="27"/>
      <c r="AC44" s="27"/>
    </row>
    <row r="45" s="23" customFormat="1" ht="16.5" spans="1:29">
      <c r="A45" s="34" t="s">
        <v>75</v>
      </c>
      <c r="B45" s="35" t="s">
        <v>69</v>
      </c>
      <c r="C45" s="38" t="s">
        <v>70</v>
      </c>
      <c r="D45" s="35"/>
      <c r="E45" s="35"/>
      <c r="F45" s="26"/>
      <c r="G45" s="37">
        <v>540</v>
      </c>
      <c r="H45" s="37">
        <v>0</v>
      </c>
      <c r="I45" s="26"/>
      <c r="J45" s="37"/>
      <c r="K45" s="37"/>
      <c r="L45" s="26"/>
      <c r="M45" s="37"/>
      <c r="N45" s="37"/>
      <c r="O45" s="26"/>
      <c r="P45" s="37"/>
      <c r="Q45" s="37"/>
      <c r="R45" s="26"/>
      <c r="S45" s="37"/>
      <c r="T45" s="37"/>
      <c r="U45" s="26"/>
      <c r="V45" s="37"/>
      <c r="W45" s="37"/>
      <c r="X45" s="26"/>
      <c r="Y45" s="37"/>
      <c r="Z45" s="37"/>
      <c r="AA45" s="26"/>
      <c r="AB45" s="27"/>
      <c r="AC45" s="27"/>
    </row>
    <row r="46" s="23" customFormat="1" ht="16.5" spans="1:29">
      <c r="A46" s="34" t="s">
        <v>76</v>
      </c>
      <c r="B46" s="3">
        <v>520000</v>
      </c>
      <c r="C46" s="36" t="s">
        <v>30</v>
      </c>
      <c r="D46" s="3">
        <v>390000</v>
      </c>
      <c r="E46" s="3">
        <v>200000</v>
      </c>
      <c r="F46" s="26"/>
      <c r="G46" s="37">
        <v>520000</v>
      </c>
      <c r="H46" s="37">
        <v>154231115</v>
      </c>
      <c r="I46" s="26"/>
      <c r="J46" s="37"/>
      <c r="K46" s="37"/>
      <c r="L46" s="26"/>
      <c r="M46" s="37"/>
      <c r="N46" s="37"/>
      <c r="O46" s="26"/>
      <c r="P46" s="37"/>
      <c r="Q46" s="37"/>
      <c r="R46" s="26"/>
      <c r="S46" s="37"/>
      <c r="T46" s="37"/>
      <c r="U46" s="26"/>
      <c r="V46" s="37"/>
      <c r="W46" s="37"/>
      <c r="X46" s="26"/>
      <c r="Y46" s="37"/>
      <c r="Z46" s="37"/>
      <c r="AA46" s="26"/>
      <c r="AB46" s="27"/>
      <c r="AC46" s="27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D23"/>
  <sheetViews>
    <sheetView topLeftCell="A9" workbookViewId="0">
      <selection activeCell="D22" sqref="D22"/>
    </sheetView>
  </sheetViews>
  <sheetFormatPr defaultColWidth="9" defaultRowHeight="14.25" outlineLevelCol="3"/>
  <cols>
    <col min="1" max="1" width="23" style="17" customWidth="1"/>
    <col min="2" max="2" width="23.25" style="17" customWidth="1"/>
    <col min="3" max="3" width="31.625" style="17" customWidth="1"/>
    <col min="4" max="4" width="23.875" style="17" customWidth="1"/>
    <col min="5" max="16384" width="9" style="17"/>
  </cols>
  <sheetData>
    <row r="1" ht="33.75" customHeight="1" spans="1:4">
      <c r="A1" s="18" t="s">
        <v>77</v>
      </c>
      <c r="B1" s="18"/>
      <c r="C1" s="18"/>
      <c r="D1" s="18"/>
    </row>
    <row r="2" ht="36.75" customHeight="1" spans="1:4">
      <c r="A2" s="19" t="s">
        <v>78</v>
      </c>
      <c r="B2" s="19" t="s">
        <v>79</v>
      </c>
      <c r="C2" s="19" t="s">
        <v>80</v>
      </c>
      <c r="D2" s="19" t="s">
        <v>81</v>
      </c>
    </row>
    <row r="3" ht="36.75" customHeight="1" spans="1:4">
      <c r="A3" s="20"/>
      <c r="B3" s="19" t="s">
        <v>82</v>
      </c>
      <c r="C3" s="19" t="s">
        <v>83</v>
      </c>
      <c r="D3" s="21">
        <v>1000000000</v>
      </c>
    </row>
    <row r="4" ht="36.75" customHeight="1" spans="1:4">
      <c r="A4" s="20"/>
      <c r="B4" s="19" t="s">
        <v>84</v>
      </c>
      <c r="C4" s="19" t="s">
        <v>83</v>
      </c>
      <c r="D4" s="21">
        <v>1000000000</v>
      </c>
    </row>
    <row r="5" ht="36.75" customHeight="1" spans="1:4">
      <c r="A5" s="20"/>
      <c r="B5" s="19" t="s">
        <v>85</v>
      </c>
      <c r="C5" s="19" t="s">
        <v>86</v>
      </c>
      <c r="D5" s="21">
        <v>750000000</v>
      </c>
    </row>
    <row r="6" ht="36" customHeight="1" spans="1:4">
      <c r="A6" s="20"/>
      <c r="B6" s="19" t="s">
        <v>87</v>
      </c>
      <c r="C6" s="19" t="s">
        <v>88</v>
      </c>
      <c r="D6" s="21">
        <v>750000000</v>
      </c>
    </row>
    <row r="7" ht="36.75" customHeight="1" spans="1:4">
      <c r="A7" s="20"/>
      <c r="B7" s="19" t="s">
        <v>89</v>
      </c>
      <c r="C7" s="19" t="s">
        <v>90</v>
      </c>
      <c r="D7" s="21">
        <v>750000000</v>
      </c>
    </row>
    <row r="8" ht="36.75" customHeight="1" spans="1:4">
      <c r="A8" s="19" t="s">
        <v>91</v>
      </c>
      <c r="B8" s="19" t="s">
        <v>92</v>
      </c>
      <c r="C8" s="19" t="s">
        <v>93</v>
      </c>
      <c r="D8" s="21">
        <v>750000000</v>
      </c>
    </row>
    <row r="9" ht="36.75" customHeight="1" spans="1:4">
      <c r="A9" s="19" t="s">
        <v>94</v>
      </c>
      <c r="B9" s="19" t="s">
        <v>95</v>
      </c>
      <c r="C9" s="19" t="s">
        <v>90</v>
      </c>
      <c r="D9" s="21">
        <v>750000000</v>
      </c>
    </row>
    <row r="10" ht="36.75" customHeight="1" spans="1:4">
      <c r="A10" s="19" t="s">
        <v>96</v>
      </c>
      <c r="B10" s="19" t="s">
        <v>31</v>
      </c>
      <c r="C10" s="19" t="s">
        <v>97</v>
      </c>
      <c r="D10" s="21">
        <v>750000000</v>
      </c>
    </row>
    <row r="11" ht="37.5" customHeight="1" spans="1:4">
      <c r="A11" s="19" t="s">
        <v>98</v>
      </c>
      <c r="B11" s="19" t="s">
        <v>47</v>
      </c>
      <c r="C11" s="19" t="s">
        <v>99</v>
      </c>
      <c r="D11" s="21">
        <v>500000000</v>
      </c>
    </row>
    <row r="12" ht="36.75" customHeight="1" spans="1:4">
      <c r="A12" s="20"/>
      <c r="B12" s="19" t="s">
        <v>54</v>
      </c>
      <c r="C12" s="19" t="s">
        <v>100</v>
      </c>
      <c r="D12" s="21">
        <v>500000000</v>
      </c>
    </row>
    <row r="13" ht="36.75" customHeight="1" spans="1:4">
      <c r="A13" s="19" t="s">
        <v>101</v>
      </c>
      <c r="B13" s="19" t="s">
        <v>36</v>
      </c>
      <c r="C13" s="19" t="s">
        <v>102</v>
      </c>
      <c r="D13" s="21">
        <v>500000000</v>
      </c>
    </row>
    <row r="14" ht="36.75" customHeight="1" spans="1:4">
      <c r="A14" s="20"/>
      <c r="B14" s="19" t="s">
        <v>62</v>
      </c>
      <c r="C14" s="19" t="s">
        <v>99</v>
      </c>
      <c r="D14" s="21">
        <v>500000000</v>
      </c>
    </row>
    <row r="15" ht="36.75" customHeight="1" spans="1:4">
      <c r="A15" s="20"/>
      <c r="B15" s="19" t="s">
        <v>34</v>
      </c>
      <c r="C15" s="19" t="s">
        <v>102</v>
      </c>
      <c r="D15" s="21">
        <v>500000000</v>
      </c>
    </row>
    <row r="16" ht="36" customHeight="1" spans="1:4">
      <c r="A16" s="19" t="s">
        <v>103</v>
      </c>
      <c r="B16" s="19" t="s">
        <v>104</v>
      </c>
      <c r="C16" s="22">
        <v>1000</v>
      </c>
      <c r="D16" s="21">
        <v>500000000</v>
      </c>
    </row>
    <row r="17" ht="36.75" customHeight="1" spans="1:4">
      <c r="A17" s="20"/>
      <c r="B17" s="19" t="s">
        <v>105</v>
      </c>
      <c r="C17" s="19" t="s">
        <v>106</v>
      </c>
      <c r="D17" s="21">
        <v>200000000</v>
      </c>
    </row>
    <row r="18" ht="36.75" customHeight="1" spans="1:4">
      <c r="A18" s="20"/>
      <c r="B18" s="19" t="s">
        <v>107</v>
      </c>
      <c r="C18" s="19" t="s">
        <v>106</v>
      </c>
      <c r="D18" s="21">
        <v>200000000</v>
      </c>
    </row>
    <row r="19" ht="36.75" customHeight="1" spans="1:4">
      <c r="A19" s="20"/>
      <c r="B19" s="19" t="s">
        <v>108</v>
      </c>
      <c r="C19" s="19" t="s">
        <v>106</v>
      </c>
      <c r="D19" s="21">
        <v>200000000</v>
      </c>
    </row>
    <row r="20" ht="36.75" customHeight="1" spans="1:4">
      <c r="A20" s="19" t="s">
        <v>91</v>
      </c>
      <c r="B20" s="19" t="s">
        <v>61</v>
      </c>
      <c r="C20" s="22">
        <v>500</v>
      </c>
      <c r="D20" s="21">
        <v>200000000</v>
      </c>
    </row>
    <row r="21" ht="36" customHeight="1" spans="1:4">
      <c r="A21" s="20"/>
      <c r="B21" s="19" t="s">
        <v>109</v>
      </c>
      <c r="C21" s="22">
        <v>500</v>
      </c>
      <c r="D21" s="21">
        <v>100000000</v>
      </c>
    </row>
    <row r="22" ht="36.75" customHeight="1" spans="1:4">
      <c r="A22" s="20"/>
      <c r="B22" s="19" t="s">
        <v>49</v>
      </c>
      <c r="C22" s="19" t="s">
        <v>110</v>
      </c>
      <c r="D22" s="21">
        <v>100000000</v>
      </c>
    </row>
    <row r="23" ht="36" customHeight="1" spans="1:4">
      <c r="A23" s="20"/>
      <c r="B23" s="19" t="s">
        <v>111</v>
      </c>
      <c r="C23" s="19" t="s">
        <v>110</v>
      </c>
      <c r="D23" s="21">
        <v>100000000</v>
      </c>
    </row>
  </sheetData>
  <mergeCells count="1">
    <mergeCell ref="A1:D1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B1:O74"/>
  <sheetViews>
    <sheetView zoomScale="115" zoomScaleNormal="115" topLeftCell="I1" workbookViewId="0">
      <selection activeCell="M63" sqref="M63"/>
    </sheetView>
  </sheetViews>
  <sheetFormatPr defaultColWidth="9" defaultRowHeight="13.5"/>
  <cols>
    <col min="1" max="1" width="9" style="7"/>
    <col min="2" max="2" width="14.5" style="7" customWidth="1"/>
    <col min="3" max="3" width="25.9416666666667" style="8" customWidth="1"/>
    <col min="4" max="4" width="25.6916666666667" style="8" customWidth="1"/>
    <col min="5" max="6" width="26.2833333333333" style="8" customWidth="1"/>
    <col min="7" max="7" width="28.9583333333333" style="8" customWidth="1"/>
    <col min="8" max="8" width="24.1583333333333" style="8" customWidth="1"/>
    <col min="9" max="9" width="21.375" style="8" customWidth="1"/>
    <col min="10" max="12" width="22.6" style="8" customWidth="1"/>
    <col min="13" max="13" width="14.3333333333333" style="8" customWidth="1"/>
    <col min="14" max="16380" width="9" style="7"/>
  </cols>
  <sheetData>
    <row r="1" spans="2:14">
      <c r="C1" s="8" t="s">
        <v>112</v>
      </c>
      <c r="D1" s="8" t="s">
        <v>113</v>
      </c>
      <c r="E1" s="8" t="s">
        <v>114</v>
      </c>
      <c r="F1" s="8" t="s">
        <v>115</v>
      </c>
      <c r="G1" s="8" t="s">
        <v>116</v>
      </c>
      <c r="H1" s="9" t="s">
        <v>117</v>
      </c>
      <c r="I1" s="9" t="s">
        <v>118</v>
      </c>
      <c r="J1" s="9" t="s">
        <v>119</v>
      </c>
      <c r="K1" s="9" t="s">
        <v>120</v>
      </c>
      <c r="L1" s="9" t="s">
        <v>121</v>
      </c>
    </row>
    <row r="2" spans="2:14">
      <c r="B2" s="7" t="s">
        <v>122</v>
      </c>
      <c r="C2" s="8">
        <v>430</v>
      </c>
      <c r="D2" s="8">
        <v>450</v>
      </c>
      <c r="E2" s="8">
        <v>470</v>
      </c>
      <c r="F2" s="8">
        <f>E2+20</f>
        <v>490</v>
      </c>
      <c r="G2" s="8">
        <f>F2+20</f>
        <v>510</v>
      </c>
      <c r="H2" s="8">
        <v>470</v>
      </c>
      <c r="I2" s="8">
        <v>500</v>
      </c>
      <c r="J2" s="8">
        <v>520</v>
      </c>
      <c r="K2" s="8">
        <v>540</v>
      </c>
      <c r="L2" s="8">
        <v>530</v>
      </c>
      <c r="M2" s="8" t="s">
        <v>122</v>
      </c>
    </row>
    <row r="3" spans="2:14">
      <c r="B3" s="7" t="s">
        <v>123</v>
      </c>
      <c r="C3" s="8">
        <v>430</v>
      </c>
      <c r="D3" s="8">
        <v>450</v>
      </c>
      <c r="E3" s="8">
        <v>470</v>
      </c>
      <c r="F3" s="8">
        <f>E3+20</f>
        <v>490</v>
      </c>
      <c r="G3" s="8">
        <f>F3+20</f>
        <v>510</v>
      </c>
      <c r="H3" s="8">
        <v>470</v>
      </c>
      <c r="I3" s="8">
        <v>490</v>
      </c>
      <c r="J3" s="8">
        <v>510</v>
      </c>
      <c r="K3" s="8">
        <v>530</v>
      </c>
      <c r="L3" s="8">
        <v>520</v>
      </c>
      <c r="M3" s="8" t="s">
        <v>123</v>
      </c>
    </row>
    <row r="4" spans="2:14">
      <c r="B4" s="7" t="s">
        <v>62</v>
      </c>
      <c r="C4" s="8">
        <v>420</v>
      </c>
      <c r="D4" s="8">
        <v>440</v>
      </c>
      <c r="E4" s="8">
        <v>460</v>
      </c>
      <c r="F4" s="8">
        <f>E4+20</f>
        <v>480</v>
      </c>
      <c r="G4" s="8">
        <f>F4+20</f>
        <v>500</v>
      </c>
      <c r="H4" s="8">
        <v>460</v>
      </c>
      <c r="I4" s="8">
        <v>480</v>
      </c>
      <c r="J4" s="8">
        <v>500</v>
      </c>
      <c r="K4" s="8">
        <v>520</v>
      </c>
      <c r="L4" s="8">
        <v>510</v>
      </c>
      <c r="M4" s="8" t="s">
        <v>62</v>
      </c>
      <c r="N4" s="10"/>
    </row>
    <row r="5" spans="2:14">
      <c r="B5" s="7" t="s">
        <v>124</v>
      </c>
      <c r="C5" s="8">
        <v>420</v>
      </c>
      <c r="D5" s="8">
        <v>440</v>
      </c>
      <c r="E5" s="8">
        <v>460</v>
      </c>
      <c r="F5" s="8">
        <f>E5+20</f>
        <v>480</v>
      </c>
      <c r="G5" s="11">
        <v>480</v>
      </c>
      <c r="H5" s="8">
        <v>460</v>
      </c>
      <c r="M5" s="8" t="s">
        <v>124</v>
      </c>
      <c r="N5" s="10"/>
    </row>
    <row r="6" spans="2:14">
      <c r="B6" s="7" t="s">
        <v>125</v>
      </c>
      <c r="C6" s="8">
        <v>435</v>
      </c>
      <c r="D6" s="8">
        <v>455</v>
      </c>
      <c r="E6" s="8">
        <v>475</v>
      </c>
      <c r="F6" s="8">
        <f>E6+20</f>
        <v>495</v>
      </c>
      <c r="G6" s="8">
        <f>F6+20</f>
        <v>515</v>
      </c>
      <c r="H6" s="8">
        <v>475</v>
      </c>
      <c r="I6" s="8">
        <v>495</v>
      </c>
      <c r="J6" s="8">
        <v>515</v>
      </c>
      <c r="K6" s="8">
        <v>535</v>
      </c>
      <c r="L6" s="8">
        <v>525</v>
      </c>
      <c r="M6" s="8" t="s">
        <v>125</v>
      </c>
    </row>
    <row r="7" spans="2:14">
      <c r="B7" s="7" t="s">
        <v>61</v>
      </c>
      <c r="C7" s="8">
        <v>420</v>
      </c>
      <c r="D7" s="8">
        <v>440</v>
      </c>
      <c r="E7" s="8">
        <v>460</v>
      </c>
      <c r="F7" s="8">
        <f>E7+20</f>
        <v>480</v>
      </c>
      <c r="G7" s="8">
        <f>F7+20</f>
        <v>500</v>
      </c>
      <c r="H7" s="8">
        <v>460</v>
      </c>
      <c r="I7" s="8">
        <v>480</v>
      </c>
      <c r="J7" s="8">
        <v>500</v>
      </c>
      <c r="K7" s="8">
        <v>520</v>
      </c>
      <c r="L7" s="8">
        <v>510</v>
      </c>
      <c r="M7" s="8" t="s">
        <v>61</v>
      </c>
    </row>
    <row r="8" spans="2:14">
      <c r="B8" s="7" t="s">
        <v>60</v>
      </c>
      <c r="C8" s="8">
        <v>435</v>
      </c>
      <c r="D8" s="8">
        <v>455</v>
      </c>
      <c r="E8" s="8">
        <v>475</v>
      </c>
      <c r="F8" s="8">
        <f>E8+20</f>
        <v>495</v>
      </c>
      <c r="G8" s="8">
        <f>F8+20</f>
        <v>515</v>
      </c>
      <c r="H8" s="8">
        <v>480</v>
      </c>
      <c r="I8" s="8">
        <v>500</v>
      </c>
      <c r="J8" s="8">
        <v>520</v>
      </c>
      <c r="K8" s="8">
        <v>540</v>
      </c>
      <c r="L8" s="8">
        <v>530</v>
      </c>
      <c r="M8" s="8" t="s">
        <v>60</v>
      </c>
    </row>
    <row r="9" spans="2:14">
      <c r="B9" s="7" t="s">
        <v>73</v>
      </c>
      <c r="C9" s="8">
        <v>430</v>
      </c>
      <c r="D9" s="8">
        <v>450</v>
      </c>
      <c r="E9" s="8">
        <v>470</v>
      </c>
      <c r="F9" s="8">
        <f>E9+20</f>
        <v>490</v>
      </c>
      <c r="G9" s="8">
        <f>F9+20</f>
        <v>510</v>
      </c>
      <c r="H9" s="8">
        <v>470</v>
      </c>
      <c r="I9" s="8">
        <v>490</v>
      </c>
      <c r="J9" s="8">
        <v>510</v>
      </c>
      <c r="K9" s="8">
        <v>530</v>
      </c>
      <c r="L9" s="8">
        <v>520</v>
      </c>
      <c r="M9" s="8" t="s">
        <v>73</v>
      </c>
    </row>
    <row r="10" spans="2:14">
      <c r="B10" s="7" t="s">
        <v>59</v>
      </c>
      <c r="C10" s="8">
        <v>420</v>
      </c>
      <c r="D10" s="8">
        <v>440</v>
      </c>
      <c r="E10" s="8">
        <v>460</v>
      </c>
      <c r="F10" s="8">
        <f>E10+20</f>
        <v>480</v>
      </c>
      <c r="G10" s="8">
        <f>F10+20</f>
        <v>500</v>
      </c>
      <c r="H10" s="8">
        <v>460</v>
      </c>
      <c r="I10" s="8">
        <v>480</v>
      </c>
      <c r="J10" s="8">
        <v>500</v>
      </c>
      <c r="K10" s="8">
        <v>520</v>
      </c>
      <c r="L10" s="8">
        <v>510</v>
      </c>
      <c r="M10" s="8" t="s">
        <v>59</v>
      </c>
    </row>
    <row r="11" spans="2:14">
      <c r="B11" s="7" t="s">
        <v>57</v>
      </c>
      <c r="G11" s="11">
        <v>480</v>
      </c>
      <c r="H11" s="8">
        <v>460</v>
      </c>
      <c r="I11" s="8">
        <v>480</v>
      </c>
      <c r="J11" s="8">
        <v>500</v>
      </c>
      <c r="K11" s="8">
        <v>520</v>
      </c>
      <c r="L11" s="8">
        <v>510</v>
      </c>
      <c r="M11" s="8" t="s">
        <v>87</v>
      </c>
    </row>
    <row r="12" spans="2:14">
      <c r="B12" s="7" t="s">
        <v>56</v>
      </c>
      <c r="C12" s="8">
        <v>440</v>
      </c>
      <c r="D12" s="8">
        <v>460</v>
      </c>
      <c r="E12" s="8">
        <v>480</v>
      </c>
      <c r="F12" s="8">
        <f>E12+20</f>
        <v>500</v>
      </c>
      <c r="G12" s="8">
        <f>F12+20</f>
        <v>520</v>
      </c>
      <c r="H12" s="8">
        <v>480</v>
      </c>
      <c r="I12" s="8">
        <v>500</v>
      </c>
      <c r="J12" s="8">
        <v>520</v>
      </c>
      <c r="K12" s="8">
        <v>540</v>
      </c>
      <c r="L12" s="8">
        <v>530</v>
      </c>
      <c r="M12" s="8" t="s">
        <v>56</v>
      </c>
    </row>
    <row r="13" spans="2:14">
      <c r="B13" s="7" t="s">
        <v>126</v>
      </c>
      <c r="C13" s="8">
        <v>425</v>
      </c>
      <c r="D13" s="8">
        <v>445</v>
      </c>
      <c r="E13" s="8">
        <v>465</v>
      </c>
      <c r="F13" s="8">
        <f>E13+20</f>
        <v>485</v>
      </c>
      <c r="G13" s="8">
        <f>F13+20</f>
        <v>505</v>
      </c>
      <c r="H13" s="8">
        <v>465</v>
      </c>
      <c r="I13" s="8">
        <v>485</v>
      </c>
      <c r="J13" s="8">
        <v>505</v>
      </c>
      <c r="K13" s="8">
        <v>525</v>
      </c>
      <c r="L13" s="8">
        <v>515</v>
      </c>
      <c r="M13" s="8" t="s">
        <v>126</v>
      </c>
    </row>
    <row r="14" spans="2:14">
      <c r="B14" s="7" t="s">
        <v>127</v>
      </c>
      <c r="C14" s="8">
        <v>435</v>
      </c>
      <c r="D14" s="8">
        <v>455</v>
      </c>
      <c r="E14" s="8">
        <v>475</v>
      </c>
      <c r="F14" s="8">
        <f>E14+20</f>
        <v>495</v>
      </c>
      <c r="G14" s="8">
        <f>F14+20</f>
        <v>515</v>
      </c>
      <c r="H14" s="8">
        <v>475</v>
      </c>
      <c r="I14" s="8">
        <v>495</v>
      </c>
      <c r="J14" s="8">
        <v>515</v>
      </c>
      <c r="K14" s="8">
        <v>535</v>
      </c>
      <c r="L14" s="8">
        <v>525</v>
      </c>
      <c r="M14" s="8" t="s">
        <v>127</v>
      </c>
    </row>
    <row r="15" spans="2:14">
      <c r="B15" s="7" t="s">
        <v>128</v>
      </c>
      <c r="C15" s="8">
        <v>420</v>
      </c>
      <c r="D15" s="8">
        <v>440</v>
      </c>
      <c r="E15" s="8">
        <v>460</v>
      </c>
      <c r="F15" s="8">
        <f>E15+20</f>
        <v>480</v>
      </c>
      <c r="G15" s="8">
        <f>F15+20</f>
        <v>500</v>
      </c>
      <c r="H15" s="8">
        <v>460</v>
      </c>
      <c r="I15" s="8">
        <v>480</v>
      </c>
      <c r="J15" s="8">
        <v>500</v>
      </c>
      <c r="K15" s="8">
        <v>520</v>
      </c>
      <c r="L15" s="8">
        <v>510</v>
      </c>
      <c r="M15" s="8" t="s">
        <v>128</v>
      </c>
    </row>
    <row r="16" spans="2:14">
      <c r="B16" s="12" t="s">
        <v>55</v>
      </c>
      <c r="C16" s="8">
        <v>430</v>
      </c>
      <c r="D16" s="8">
        <v>450</v>
      </c>
      <c r="E16" s="8">
        <v>470</v>
      </c>
      <c r="F16" s="8">
        <f>E16+20</f>
        <v>490</v>
      </c>
      <c r="G16" s="8">
        <f>F16+20</f>
        <v>510</v>
      </c>
      <c r="H16" s="8">
        <v>470</v>
      </c>
      <c r="I16" s="8">
        <v>490</v>
      </c>
      <c r="J16" s="8">
        <v>510</v>
      </c>
      <c r="K16" s="8">
        <v>530</v>
      </c>
      <c r="L16" s="8">
        <v>520</v>
      </c>
      <c r="M16" s="8" t="s">
        <v>55</v>
      </c>
    </row>
    <row r="17" spans="2:15">
      <c r="B17" s="13" t="s">
        <v>54</v>
      </c>
      <c r="C17" s="8">
        <v>410</v>
      </c>
      <c r="D17" s="8">
        <v>430</v>
      </c>
      <c r="E17" s="8">
        <v>450</v>
      </c>
      <c r="F17" s="8">
        <f>E17+20</f>
        <v>470</v>
      </c>
      <c r="G17" s="8">
        <f>F17+20</f>
        <v>490</v>
      </c>
      <c r="H17" s="8">
        <v>450</v>
      </c>
      <c r="I17" s="8">
        <v>470</v>
      </c>
      <c r="J17" s="8">
        <v>490</v>
      </c>
      <c r="K17" s="8">
        <v>510</v>
      </c>
      <c r="L17" s="8">
        <v>500</v>
      </c>
      <c r="M17" s="14" t="s">
        <v>54</v>
      </c>
      <c r="N17" s="15"/>
      <c r="O17" s="15"/>
    </row>
    <row r="18" spans="2:15">
      <c r="B18" s="12" t="s">
        <v>129</v>
      </c>
      <c r="C18" s="8">
        <v>435</v>
      </c>
      <c r="D18" s="8">
        <v>455</v>
      </c>
      <c r="E18" s="8">
        <v>475</v>
      </c>
      <c r="F18" s="8">
        <f>E18+20</f>
        <v>495</v>
      </c>
      <c r="G18" s="8">
        <f>F18+20</f>
        <v>515</v>
      </c>
      <c r="H18" s="8">
        <v>475</v>
      </c>
      <c r="I18" s="8">
        <v>500</v>
      </c>
      <c r="J18" s="8">
        <v>515</v>
      </c>
      <c r="K18" s="8">
        <v>535</v>
      </c>
      <c r="L18" s="8">
        <v>525</v>
      </c>
      <c r="M18" s="8" t="s">
        <v>129</v>
      </c>
      <c r="N18" s="15"/>
      <c r="O18" s="15"/>
    </row>
    <row r="19" spans="2:15">
      <c r="B19" s="7" t="s">
        <v>72</v>
      </c>
      <c r="C19" s="8">
        <v>440</v>
      </c>
      <c r="D19" s="8">
        <v>460</v>
      </c>
      <c r="E19" s="8">
        <v>480</v>
      </c>
      <c r="F19" s="8">
        <f>E19+20</f>
        <v>500</v>
      </c>
      <c r="G19" s="8">
        <f>F19+20</f>
        <v>520</v>
      </c>
      <c r="H19" s="8">
        <v>490</v>
      </c>
      <c r="I19" s="8">
        <v>510</v>
      </c>
      <c r="J19" s="8">
        <v>530</v>
      </c>
      <c r="K19" s="8">
        <v>540</v>
      </c>
      <c r="L19" s="8">
        <v>530</v>
      </c>
      <c r="M19" s="8" t="s">
        <v>72</v>
      </c>
      <c r="N19" s="15"/>
      <c r="O19" s="15"/>
    </row>
    <row r="20" spans="2:15">
      <c r="B20" s="7" t="s">
        <v>53</v>
      </c>
      <c r="C20" s="8">
        <v>430</v>
      </c>
      <c r="D20" s="8">
        <v>450</v>
      </c>
      <c r="E20" s="8">
        <v>470</v>
      </c>
      <c r="F20" s="8">
        <f>E20+20</f>
        <v>490</v>
      </c>
      <c r="G20" s="8">
        <f>F20+20</f>
        <v>510</v>
      </c>
      <c r="H20" s="8">
        <v>475</v>
      </c>
      <c r="I20" s="8">
        <v>495</v>
      </c>
      <c r="J20" s="8">
        <v>515</v>
      </c>
      <c r="K20" s="8">
        <v>535</v>
      </c>
      <c r="L20" s="8">
        <v>525</v>
      </c>
      <c r="M20" s="8" t="s">
        <v>53</v>
      </c>
      <c r="N20" s="15"/>
      <c r="O20" s="15"/>
    </row>
    <row r="21" spans="2:15">
      <c r="B21" s="7" t="s">
        <v>130</v>
      </c>
      <c r="C21" s="8">
        <v>430</v>
      </c>
      <c r="D21" s="8">
        <v>450</v>
      </c>
      <c r="E21" s="8">
        <v>470</v>
      </c>
      <c r="F21" s="8">
        <f>E21+20</f>
        <v>490</v>
      </c>
      <c r="G21" s="8">
        <f>F21+20</f>
        <v>510</v>
      </c>
      <c r="H21" s="8">
        <v>485</v>
      </c>
      <c r="I21" s="8">
        <v>505</v>
      </c>
      <c r="J21" s="8">
        <v>525</v>
      </c>
      <c r="K21" s="8">
        <v>545</v>
      </c>
      <c r="L21" s="8">
        <v>535</v>
      </c>
      <c r="M21" s="8" t="s">
        <v>130</v>
      </c>
      <c r="N21" s="15"/>
      <c r="O21" s="15"/>
    </row>
    <row r="22" spans="2:15">
      <c r="B22" s="7" t="s">
        <v>131</v>
      </c>
      <c r="C22" s="8">
        <v>160</v>
      </c>
      <c r="D22" s="8">
        <v>160</v>
      </c>
      <c r="E22" s="8">
        <v>460</v>
      </c>
      <c r="F22" s="8">
        <f>E22+20</f>
        <v>480</v>
      </c>
      <c r="G22" s="8">
        <f>F22+20</f>
        <v>500</v>
      </c>
      <c r="H22" s="8">
        <v>490</v>
      </c>
      <c r="I22" s="8">
        <v>510</v>
      </c>
      <c r="J22" s="8">
        <v>530</v>
      </c>
      <c r="K22" s="8">
        <v>550</v>
      </c>
      <c r="L22" s="8">
        <v>540</v>
      </c>
      <c r="M22" s="8" t="s">
        <v>131</v>
      </c>
      <c r="N22" s="15"/>
      <c r="O22" s="15"/>
    </row>
    <row r="23" spans="2:15">
      <c r="B23" s="7" t="s">
        <v>132</v>
      </c>
      <c r="C23" s="8">
        <v>420</v>
      </c>
      <c r="D23" s="8">
        <v>440</v>
      </c>
      <c r="E23" s="8">
        <v>460</v>
      </c>
      <c r="F23" s="8">
        <f>E23+20</f>
        <v>480</v>
      </c>
      <c r="G23" s="11">
        <v>480</v>
      </c>
      <c r="H23" s="8">
        <v>460</v>
      </c>
      <c r="L23" s="8">
        <v>-10</v>
      </c>
      <c r="N23" s="15"/>
      <c r="O23" s="15"/>
    </row>
    <row r="24" spans="2:15">
      <c r="B24" s="7" t="s">
        <v>52</v>
      </c>
      <c r="C24" s="8">
        <v>430</v>
      </c>
      <c r="D24" s="8">
        <v>450</v>
      </c>
      <c r="E24" s="8">
        <v>470</v>
      </c>
      <c r="F24" s="8">
        <f>E24+20</f>
        <v>490</v>
      </c>
      <c r="G24" s="8">
        <f>F24+20</f>
        <v>510</v>
      </c>
      <c r="H24" s="8">
        <v>485</v>
      </c>
      <c r="I24" s="8">
        <v>500</v>
      </c>
      <c r="J24" s="8">
        <v>520</v>
      </c>
      <c r="K24" s="8">
        <v>540</v>
      </c>
      <c r="L24" s="8">
        <v>530</v>
      </c>
      <c r="M24" s="8" t="s">
        <v>52</v>
      </c>
      <c r="N24" s="15"/>
      <c r="O24" s="15"/>
    </row>
    <row r="25" spans="2:15">
      <c r="B25" s="13" t="s">
        <v>71</v>
      </c>
      <c r="C25" s="8">
        <v>410</v>
      </c>
      <c r="D25" s="8">
        <v>430</v>
      </c>
      <c r="E25" s="8">
        <v>450</v>
      </c>
      <c r="F25" s="8">
        <f>E25+20</f>
        <v>470</v>
      </c>
      <c r="G25" s="8">
        <f>F25+20</f>
        <v>490</v>
      </c>
      <c r="H25" s="8">
        <v>450</v>
      </c>
      <c r="I25" s="8">
        <v>470</v>
      </c>
      <c r="J25" s="8">
        <v>490</v>
      </c>
      <c r="K25" s="8">
        <v>510</v>
      </c>
      <c r="L25" s="8">
        <v>500</v>
      </c>
      <c r="M25" s="14" t="s">
        <v>67</v>
      </c>
      <c r="N25" s="15"/>
      <c r="O25" s="15"/>
    </row>
    <row r="26" spans="2:15">
      <c r="B26" s="7" t="s">
        <v>133</v>
      </c>
      <c r="C26" s="8">
        <v>440</v>
      </c>
      <c r="D26" s="8">
        <v>460</v>
      </c>
      <c r="E26" s="8">
        <v>480</v>
      </c>
      <c r="F26" s="8">
        <f>E26+20</f>
        <v>500</v>
      </c>
      <c r="G26" s="8">
        <f>F26+20</f>
        <v>520</v>
      </c>
      <c r="H26" s="8">
        <v>480</v>
      </c>
      <c r="I26" s="8">
        <v>500</v>
      </c>
      <c r="J26" s="8">
        <v>520</v>
      </c>
      <c r="K26" s="8">
        <v>540</v>
      </c>
      <c r="L26" s="8">
        <v>530</v>
      </c>
      <c r="M26" s="8" t="s">
        <v>133</v>
      </c>
      <c r="N26" s="15"/>
      <c r="O26" s="15"/>
    </row>
    <row r="27" spans="2:15">
      <c r="B27" s="7" t="s">
        <v>134</v>
      </c>
      <c r="C27" s="8">
        <v>430</v>
      </c>
      <c r="D27" s="8">
        <v>450</v>
      </c>
      <c r="E27" s="8">
        <v>470</v>
      </c>
      <c r="F27" s="8">
        <f>E27+20</f>
        <v>490</v>
      </c>
      <c r="G27" s="8">
        <f>F27+20</f>
        <v>510</v>
      </c>
      <c r="H27" s="8">
        <v>470</v>
      </c>
      <c r="I27" s="8">
        <v>500</v>
      </c>
      <c r="J27" s="8">
        <v>520</v>
      </c>
      <c r="K27" s="8">
        <v>540</v>
      </c>
      <c r="L27" s="8">
        <v>530</v>
      </c>
      <c r="M27" s="8" t="s">
        <v>134</v>
      </c>
    </row>
    <row r="28" spans="2:15">
      <c r="B28" s="7" t="s">
        <v>50</v>
      </c>
      <c r="C28" s="8">
        <v>430</v>
      </c>
      <c r="D28" s="8">
        <v>450</v>
      </c>
      <c r="E28" s="8">
        <v>470</v>
      </c>
      <c r="F28" s="8">
        <f>E28+20</f>
        <v>490</v>
      </c>
      <c r="G28" s="8">
        <f>F28+20</f>
        <v>510</v>
      </c>
      <c r="H28" s="8">
        <v>470</v>
      </c>
      <c r="I28" s="8">
        <v>490</v>
      </c>
      <c r="J28" s="8">
        <v>510</v>
      </c>
      <c r="K28" s="8">
        <v>530</v>
      </c>
      <c r="L28" s="8">
        <v>520</v>
      </c>
      <c r="M28" s="8" t="s">
        <v>50</v>
      </c>
    </row>
    <row r="29" spans="2:15">
      <c r="B29" s="7" t="s">
        <v>49</v>
      </c>
      <c r="C29" s="8">
        <v>435</v>
      </c>
      <c r="D29" s="8">
        <v>455</v>
      </c>
      <c r="E29" s="8">
        <v>475</v>
      </c>
      <c r="F29" s="8">
        <f>E29+20</f>
        <v>495</v>
      </c>
      <c r="G29" s="8">
        <f>F29+20</f>
        <v>515</v>
      </c>
      <c r="H29" s="8">
        <v>475</v>
      </c>
      <c r="I29" s="8">
        <v>495</v>
      </c>
      <c r="J29" s="8">
        <v>515</v>
      </c>
      <c r="K29" s="8">
        <v>535</v>
      </c>
      <c r="L29" s="8">
        <v>525</v>
      </c>
      <c r="M29" s="8" t="s">
        <v>49</v>
      </c>
    </row>
    <row r="30" spans="2:15">
      <c r="B30" s="7" t="s">
        <v>135</v>
      </c>
      <c r="C30" s="8">
        <v>420</v>
      </c>
      <c r="D30" s="8">
        <v>440</v>
      </c>
      <c r="E30" s="8">
        <v>460</v>
      </c>
      <c r="F30" s="8">
        <f>E30+20</f>
        <v>480</v>
      </c>
      <c r="G30" s="8">
        <f>F30+20</f>
        <v>500</v>
      </c>
      <c r="H30" s="8">
        <v>460</v>
      </c>
      <c r="J30" s="8">
        <v>20</v>
      </c>
      <c r="M30" s="8" t="s">
        <v>135</v>
      </c>
    </row>
    <row r="31" spans="2:15">
      <c r="B31" s="7" t="s">
        <v>136</v>
      </c>
      <c r="C31" s="8">
        <v>425</v>
      </c>
      <c r="D31" s="8">
        <v>445</v>
      </c>
      <c r="E31" s="8">
        <v>465</v>
      </c>
      <c r="F31" s="8">
        <f>E31+20</f>
        <v>485</v>
      </c>
      <c r="G31" s="8">
        <f>F31+20</f>
        <v>505</v>
      </c>
      <c r="H31" s="8">
        <v>465</v>
      </c>
      <c r="I31" s="8">
        <v>485</v>
      </c>
      <c r="J31" s="8">
        <v>505</v>
      </c>
      <c r="K31" s="8">
        <v>525</v>
      </c>
      <c r="L31" s="8">
        <v>515</v>
      </c>
      <c r="M31" s="8" t="s">
        <v>136</v>
      </c>
    </row>
    <row r="32" spans="2:15">
      <c r="B32" s="7" t="s">
        <v>48</v>
      </c>
      <c r="C32" s="8">
        <v>425</v>
      </c>
      <c r="D32" s="8">
        <v>445</v>
      </c>
      <c r="E32" s="8">
        <v>465</v>
      </c>
      <c r="F32" s="8">
        <f>E32+20</f>
        <v>485</v>
      </c>
      <c r="G32" s="8">
        <f>F32+20</f>
        <v>505</v>
      </c>
      <c r="H32" s="8">
        <v>465</v>
      </c>
      <c r="I32" s="8">
        <v>485</v>
      </c>
      <c r="J32" s="8">
        <v>505</v>
      </c>
      <c r="K32" s="8">
        <v>525</v>
      </c>
      <c r="L32" s="8">
        <v>515</v>
      </c>
      <c r="M32" s="8" t="s">
        <v>108</v>
      </c>
    </row>
    <row r="33" spans="2:13">
      <c r="B33" s="13" t="s">
        <v>47</v>
      </c>
      <c r="C33" s="8">
        <v>410</v>
      </c>
      <c r="D33" s="8">
        <v>430</v>
      </c>
      <c r="E33" s="8">
        <v>450</v>
      </c>
      <c r="F33" s="8">
        <f>E33+20</f>
        <v>470</v>
      </c>
      <c r="G33" s="8">
        <f>F33+20</f>
        <v>490</v>
      </c>
      <c r="H33" s="8">
        <v>450</v>
      </c>
      <c r="I33" s="8">
        <v>470</v>
      </c>
      <c r="J33" s="8">
        <v>490</v>
      </c>
      <c r="K33" s="8">
        <v>510</v>
      </c>
      <c r="L33" s="8">
        <v>500</v>
      </c>
      <c r="M33" s="14" t="s">
        <v>47</v>
      </c>
    </row>
    <row r="34" spans="2:13">
      <c r="B34" s="7" t="s">
        <v>137</v>
      </c>
      <c r="I34" s="8">
        <v>505</v>
      </c>
      <c r="J34" s="8">
        <v>525</v>
      </c>
      <c r="K34" s="8">
        <v>545</v>
      </c>
      <c r="L34" s="8">
        <v>535</v>
      </c>
      <c r="M34" s="8" t="s">
        <v>137</v>
      </c>
    </row>
    <row r="35" spans="2:13">
      <c r="B35" s="7" t="s">
        <v>45</v>
      </c>
      <c r="G35" s="8">
        <v>480</v>
      </c>
      <c r="I35" s="8">
        <v>480</v>
      </c>
      <c r="J35" s="8">
        <v>500</v>
      </c>
      <c r="K35" s="8">
        <v>520</v>
      </c>
      <c r="L35" s="8">
        <v>510</v>
      </c>
      <c r="M35" s="8" t="s">
        <v>45</v>
      </c>
    </row>
    <row r="36" spans="2:13">
      <c r="B36" s="7" t="s">
        <v>46</v>
      </c>
      <c r="C36" s="8">
        <v>445</v>
      </c>
      <c r="D36" s="16">
        <v>455</v>
      </c>
      <c r="E36" s="8">
        <v>475</v>
      </c>
      <c r="F36" s="8">
        <v>495</v>
      </c>
      <c r="G36" s="8">
        <f>F36+20</f>
        <v>515</v>
      </c>
      <c r="H36" s="8">
        <v>475</v>
      </c>
      <c r="I36" s="8">
        <v>495</v>
      </c>
      <c r="J36" s="8">
        <v>515</v>
      </c>
      <c r="K36" s="8">
        <v>535</v>
      </c>
      <c r="L36" s="8">
        <v>525</v>
      </c>
      <c r="M36" s="8" t="s">
        <v>46</v>
      </c>
    </row>
    <row r="37" spans="2:13">
      <c r="B37" s="7" t="s">
        <v>44</v>
      </c>
      <c r="I37" s="8">
        <v>500</v>
      </c>
      <c r="J37" s="8">
        <v>530</v>
      </c>
      <c r="K37" s="8">
        <v>550</v>
      </c>
      <c r="L37" s="8">
        <v>540</v>
      </c>
      <c r="M37" s="8" t="s">
        <v>44</v>
      </c>
    </row>
    <row r="38" spans="2:13">
      <c r="B38" s="7" t="s">
        <v>43</v>
      </c>
      <c r="C38" s="8">
        <v>430</v>
      </c>
      <c r="D38" s="8">
        <v>450</v>
      </c>
      <c r="E38" s="8">
        <v>470</v>
      </c>
      <c r="F38" s="8">
        <f>E38+20</f>
        <v>490</v>
      </c>
      <c r="G38" s="8">
        <f>F38+20</f>
        <v>510</v>
      </c>
      <c r="H38" s="8">
        <v>470</v>
      </c>
      <c r="I38" s="8">
        <v>490</v>
      </c>
      <c r="J38" s="8">
        <v>510</v>
      </c>
      <c r="K38" s="8">
        <v>530</v>
      </c>
      <c r="L38" s="8">
        <v>520</v>
      </c>
      <c r="M38" s="8" t="s">
        <v>43</v>
      </c>
    </row>
    <row r="39" spans="2:13">
      <c r="B39" s="7" t="s">
        <v>138</v>
      </c>
      <c r="C39" s="8">
        <v>440</v>
      </c>
      <c r="D39" s="8">
        <v>460</v>
      </c>
      <c r="E39" s="8">
        <v>480</v>
      </c>
      <c r="F39" s="8">
        <f>E39+20</f>
        <v>500</v>
      </c>
      <c r="G39" s="8">
        <f>F39+20</f>
        <v>520</v>
      </c>
      <c r="H39" s="8">
        <v>480</v>
      </c>
      <c r="I39" s="8">
        <v>500</v>
      </c>
      <c r="J39" s="8">
        <v>520</v>
      </c>
      <c r="K39" s="8">
        <v>540</v>
      </c>
      <c r="L39" s="8">
        <v>530</v>
      </c>
      <c r="M39" s="8" t="s">
        <v>138</v>
      </c>
    </row>
    <row r="40" spans="2:13">
      <c r="B40" s="7" t="s">
        <v>42</v>
      </c>
      <c r="C40" s="8">
        <v>430</v>
      </c>
      <c r="D40" s="8">
        <v>450</v>
      </c>
      <c r="E40" s="8">
        <v>470</v>
      </c>
      <c r="F40" s="8">
        <f>E40+20</f>
        <v>490</v>
      </c>
      <c r="G40" s="8">
        <f>F40+20</f>
        <v>510</v>
      </c>
      <c r="H40" s="8">
        <v>470</v>
      </c>
      <c r="I40" s="8">
        <v>490</v>
      </c>
      <c r="J40" s="8">
        <v>510</v>
      </c>
      <c r="K40" s="8">
        <v>530</v>
      </c>
      <c r="L40" s="8">
        <v>520</v>
      </c>
      <c r="M40" s="8" t="s">
        <v>42</v>
      </c>
    </row>
    <row r="41" spans="2:13">
      <c r="B41" s="7" t="s">
        <v>41</v>
      </c>
      <c r="C41" s="8">
        <v>430</v>
      </c>
      <c r="D41" s="8">
        <v>450</v>
      </c>
      <c r="E41" s="8">
        <v>470</v>
      </c>
      <c r="F41" s="8">
        <f>E41+20</f>
        <v>490</v>
      </c>
      <c r="G41" s="8">
        <f>F41+20</f>
        <v>510</v>
      </c>
      <c r="H41" s="8">
        <v>480</v>
      </c>
      <c r="I41" s="8">
        <v>500</v>
      </c>
      <c r="J41" s="8">
        <v>520</v>
      </c>
      <c r="K41" s="8">
        <v>540</v>
      </c>
      <c r="L41" s="8">
        <v>530</v>
      </c>
      <c r="M41" s="8" t="s">
        <v>41</v>
      </c>
    </row>
    <row r="42" spans="2:13">
      <c r="I42" s="8">
        <v>480</v>
      </c>
      <c r="J42" s="8">
        <v>500</v>
      </c>
      <c r="K42" s="8">
        <v>520</v>
      </c>
      <c r="L42" s="8">
        <v>510</v>
      </c>
      <c r="M42" s="8" t="s">
        <v>40</v>
      </c>
    </row>
    <row r="43" spans="2:13">
      <c r="B43" s="7" t="s">
        <v>139</v>
      </c>
      <c r="C43" s="8">
        <v>435</v>
      </c>
      <c r="D43" s="8">
        <v>455</v>
      </c>
      <c r="E43" s="8">
        <v>475</v>
      </c>
      <c r="F43" s="8">
        <f>E43+20</f>
        <v>495</v>
      </c>
      <c r="G43" s="8">
        <f>F43+20</f>
        <v>515</v>
      </c>
      <c r="H43" s="8">
        <v>485</v>
      </c>
      <c r="I43" s="8">
        <v>495</v>
      </c>
      <c r="J43" s="8">
        <v>515</v>
      </c>
      <c r="K43" s="8">
        <v>535</v>
      </c>
      <c r="L43" s="8">
        <v>525</v>
      </c>
      <c r="M43" s="8" t="s">
        <v>139</v>
      </c>
    </row>
    <row r="44" spans="2:13">
      <c r="B44" s="13" t="s">
        <v>39</v>
      </c>
      <c r="C44" s="8">
        <v>410</v>
      </c>
      <c r="D44" s="8">
        <v>430</v>
      </c>
      <c r="E44" s="8">
        <v>450</v>
      </c>
      <c r="F44" s="8">
        <f>E44+20</f>
        <v>470</v>
      </c>
      <c r="G44" s="8">
        <f>F44+20</f>
        <v>490</v>
      </c>
      <c r="H44" s="8">
        <v>450</v>
      </c>
      <c r="I44" s="8">
        <v>470</v>
      </c>
      <c r="J44" s="8">
        <v>490</v>
      </c>
      <c r="K44" s="8">
        <v>510</v>
      </c>
      <c r="L44" s="8">
        <v>500</v>
      </c>
      <c r="M44" s="14" t="s">
        <v>39</v>
      </c>
    </row>
    <row r="45" spans="2:13">
      <c r="B45" s="13" t="s">
        <v>38</v>
      </c>
      <c r="C45" s="8">
        <v>410</v>
      </c>
      <c r="D45" s="8">
        <v>430</v>
      </c>
      <c r="E45" s="8">
        <v>450</v>
      </c>
      <c r="F45" s="8">
        <f>E45+20</f>
        <v>470</v>
      </c>
      <c r="G45" s="8">
        <f>F45+20</f>
        <v>490</v>
      </c>
      <c r="H45" s="8">
        <v>450</v>
      </c>
      <c r="I45" s="8">
        <v>470</v>
      </c>
      <c r="J45" s="8">
        <v>490</v>
      </c>
      <c r="K45" s="8">
        <v>510</v>
      </c>
      <c r="L45" s="8">
        <v>500</v>
      </c>
      <c r="M45" s="14" t="s">
        <v>38</v>
      </c>
    </row>
    <row r="46" spans="2:13">
      <c r="B46" s="7" t="s">
        <v>140</v>
      </c>
      <c r="C46" s="8">
        <v>420</v>
      </c>
      <c r="D46" s="8">
        <v>440</v>
      </c>
      <c r="E46" s="8">
        <v>460</v>
      </c>
      <c r="F46" s="8">
        <f>E46+20</f>
        <v>480</v>
      </c>
      <c r="G46" s="8">
        <f>F46+20</f>
        <v>500</v>
      </c>
      <c r="H46" s="8">
        <v>460</v>
      </c>
      <c r="I46" s="8">
        <v>480</v>
      </c>
      <c r="J46" s="8">
        <v>500</v>
      </c>
      <c r="K46" s="8">
        <v>520</v>
      </c>
      <c r="L46" s="8">
        <v>510</v>
      </c>
      <c r="M46" s="8" t="s">
        <v>141</v>
      </c>
    </row>
    <row r="47" spans="2:13">
      <c r="B47" s="7" t="s">
        <v>142</v>
      </c>
      <c r="C47" s="8">
        <v>430</v>
      </c>
      <c r="D47" s="8">
        <v>450</v>
      </c>
      <c r="E47" s="8">
        <v>470</v>
      </c>
      <c r="F47" s="8">
        <f>E47+20</f>
        <v>490</v>
      </c>
      <c r="G47" s="8">
        <f>F47+20</f>
        <v>510</v>
      </c>
      <c r="H47" s="8">
        <v>470</v>
      </c>
      <c r="I47" s="8">
        <v>490</v>
      </c>
      <c r="J47" s="8">
        <v>510</v>
      </c>
      <c r="K47" s="8">
        <v>530</v>
      </c>
      <c r="L47" s="8">
        <v>520</v>
      </c>
      <c r="M47" s="8" t="s">
        <v>142</v>
      </c>
    </row>
    <row r="48" spans="2:13">
      <c r="B48" s="13"/>
      <c r="K48" s="8">
        <v>520</v>
      </c>
      <c r="L48" s="8">
        <v>510</v>
      </c>
      <c r="M48" s="8" t="s">
        <v>65</v>
      </c>
    </row>
    <row r="49" spans="2:13">
      <c r="B49" s="13" t="s">
        <v>36</v>
      </c>
      <c r="C49" s="8">
        <v>410</v>
      </c>
      <c r="D49" s="8">
        <v>430</v>
      </c>
      <c r="E49" s="8">
        <v>450</v>
      </c>
      <c r="F49" s="8">
        <f>E49+20</f>
        <v>470</v>
      </c>
      <c r="G49" s="8">
        <f>F49+20</f>
        <v>490</v>
      </c>
      <c r="H49" s="8">
        <v>450</v>
      </c>
      <c r="I49" s="8">
        <v>470</v>
      </c>
      <c r="J49" s="8">
        <v>490</v>
      </c>
      <c r="K49" s="8">
        <v>510</v>
      </c>
      <c r="L49" s="8">
        <v>500</v>
      </c>
      <c r="M49" s="14" t="s">
        <v>36</v>
      </c>
    </row>
    <row r="50" spans="2:13">
      <c r="B50" s="13" t="s">
        <v>143</v>
      </c>
      <c r="C50" s="8">
        <v>410</v>
      </c>
      <c r="D50" s="8">
        <v>430</v>
      </c>
      <c r="E50" s="8">
        <v>450</v>
      </c>
      <c r="F50" s="8">
        <f>E50+20</f>
        <v>470</v>
      </c>
      <c r="G50" s="8">
        <f>F50+20</f>
        <v>490</v>
      </c>
      <c r="H50" s="8">
        <v>450</v>
      </c>
      <c r="M50" s="14" t="s">
        <v>143</v>
      </c>
    </row>
    <row r="51" spans="2:13">
      <c r="B51" s="7" t="s">
        <v>64</v>
      </c>
      <c r="C51" s="8">
        <v>450</v>
      </c>
      <c r="D51" s="8">
        <v>470</v>
      </c>
      <c r="E51" s="8">
        <v>490</v>
      </c>
      <c r="F51" s="8">
        <f>E51+20</f>
        <v>510</v>
      </c>
      <c r="G51" s="8">
        <f>F51+20</f>
        <v>530</v>
      </c>
      <c r="H51" s="8">
        <v>490</v>
      </c>
      <c r="I51" s="8">
        <v>510</v>
      </c>
      <c r="J51" s="8">
        <v>530</v>
      </c>
      <c r="K51" s="8">
        <v>550</v>
      </c>
      <c r="L51" s="8">
        <v>540</v>
      </c>
      <c r="M51" s="8" t="s">
        <v>64</v>
      </c>
    </row>
    <row r="52" spans="2:13">
      <c r="B52" s="7" t="s">
        <v>33</v>
      </c>
      <c r="G52" s="8">
        <v>480</v>
      </c>
      <c r="I52" s="8">
        <v>480</v>
      </c>
      <c r="J52" s="8">
        <v>500</v>
      </c>
      <c r="K52" s="8">
        <v>520</v>
      </c>
      <c r="L52" s="8">
        <v>510</v>
      </c>
      <c r="M52" s="8" t="s">
        <v>33</v>
      </c>
    </row>
    <row r="53" spans="2:13">
      <c r="B53" s="7" t="s">
        <v>144</v>
      </c>
      <c r="C53" s="8">
        <v>450</v>
      </c>
      <c r="D53" s="8">
        <v>470</v>
      </c>
      <c r="E53" s="8">
        <v>490</v>
      </c>
      <c r="F53" s="8">
        <f>E53+20</f>
        <v>510</v>
      </c>
      <c r="G53" s="8">
        <f>F53+20</f>
        <v>530</v>
      </c>
      <c r="H53" s="8">
        <v>490</v>
      </c>
      <c r="I53" s="8">
        <v>510</v>
      </c>
      <c r="J53" s="8">
        <v>530</v>
      </c>
      <c r="K53" s="8">
        <v>550</v>
      </c>
      <c r="L53" s="8">
        <v>540</v>
      </c>
      <c r="M53" s="8" t="s">
        <v>144</v>
      </c>
    </row>
    <row r="54" spans="2:13">
      <c r="B54" s="7" t="s">
        <v>35</v>
      </c>
      <c r="C54" s="8">
        <v>430</v>
      </c>
      <c r="D54" s="8">
        <v>450</v>
      </c>
      <c r="E54" s="8">
        <v>470</v>
      </c>
      <c r="F54" s="8">
        <f>E54+20</f>
        <v>490</v>
      </c>
      <c r="G54" s="8">
        <f>F54+20</f>
        <v>510</v>
      </c>
      <c r="H54" s="8">
        <v>470</v>
      </c>
      <c r="I54" s="8">
        <v>490</v>
      </c>
      <c r="J54" s="8">
        <v>510</v>
      </c>
      <c r="K54" s="8">
        <v>530</v>
      </c>
      <c r="L54" s="8">
        <v>520</v>
      </c>
      <c r="M54" s="8" t="s">
        <v>35</v>
      </c>
    </row>
    <row r="55" spans="2:13">
      <c r="B55" s="7" t="s">
        <v>34</v>
      </c>
      <c r="C55" s="8">
        <v>430</v>
      </c>
      <c r="D55" s="8">
        <v>450</v>
      </c>
      <c r="E55" s="8">
        <v>470</v>
      </c>
      <c r="F55" s="8">
        <f>E55+20</f>
        <v>490</v>
      </c>
      <c r="G55" s="8">
        <f>F55+20</f>
        <v>510</v>
      </c>
      <c r="H55" s="8">
        <v>475</v>
      </c>
      <c r="I55" s="8">
        <v>490</v>
      </c>
      <c r="J55" s="8">
        <v>510</v>
      </c>
      <c r="K55" s="8">
        <v>530</v>
      </c>
      <c r="L55" s="8">
        <v>520</v>
      </c>
      <c r="M55" s="8" t="s">
        <v>34</v>
      </c>
    </row>
    <row r="56" spans="2:13">
      <c r="B56" s="7" t="s">
        <v>104</v>
      </c>
      <c r="C56" s="8">
        <v>425</v>
      </c>
      <c r="D56" s="8">
        <v>445</v>
      </c>
      <c r="E56" s="8">
        <v>465</v>
      </c>
      <c r="F56" s="8">
        <f>E56+20</f>
        <v>485</v>
      </c>
      <c r="G56" s="8">
        <f>F56+20</f>
        <v>505</v>
      </c>
      <c r="H56" s="8">
        <v>465</v>
      </c>
      <c r="I56" s="8">
        <v>480</v>
      </c>
      <c r="J56" s="8">
        <v>500</v>
      </c>
      <c r="K56" s="8">
        <v>520</v>
      </c>
      <c r="L56" s="8">
        <v>510</v>
      </c>
      <c r="M56" s="8" t="s">
        <v>104</v>
      </c>
    </row>
    <row r="57" spans="2:13">
      <c r="B57" s="7" t="s">
        <v>74</v>
      </c>
      <c r="C57" s="8">
        <v>440</v>
      </c>
      <c r="D57" s="8">
        <v>460</v>
      </c>
      <c r="E57" s="8">
        <v>480</v>
      </c>
      <c r="F57" s="8">
        <f>E57+20</f>
        <v>500</v>
      </c>
      <c r="G57" s="8">
        <f>F57+20</f>
        <v>520</v>
      </c>
      <c r="H57" s="8">
        <v>480</v>
      </c>
      <c r="I57" s="8">
        <v>500</v>
      </c>
      <c r="J57" s="8">
        <v>520</v>
      </c>
      <c r="K57" s="8">
        <v>540</v>
      </c>
      <c r="L57" s="8">
        <v>530</v>
      </c>
      <c r="M57" s="8" t="s">
        <v>74</v>
      </c>
    </row>
    <row r="58" spans="2:13">
      <c r="B58" s="7" t="s">
        <v>145</v>
      </c>
      <c r="C58" s="8">
        <v>440</v>
      </c>
      <c r="D58" s="8">
        <v>460</v>
      </c>
      <c r="E58" s="8">
        <v>480</v>
      </c>
      <c r="F58" s="8">
        <f>E58+20</f>
        <v>500</v>
      </c>
      <c r="G58" s="8">
        <f>F58+20</f>
        <v>520</v>
      </c>
      <c r="H58" s="8">
        <v>480</v>
      </c>
      <c r="I58" s="8">
        <v>500</v>
      </c>
      <c r="J58" s="8">
        <v>530</v>
      </c>
      <c r="K58" s="8">
        <v>550</v>
      </c>
      <c r="L58" s="8">
        <v>540</v>
      </c>
      <c r="M58" s="8" t="s">
        <v>145</v>
      </c>
    </row>
    <row r="59" spans="2:13">
      <c r="B59" s="7" t="s">
        <v>32</v>
      </c>
      <c r="C59" s="8">
        <v>440</v>
      </c>
      <c r="D59" s="8">
        <v>460</v>
      </c>
      <c r="E59" s="8">
        <v>480</v>
      </c>
      <c r="F59" s="8">
        <f>E59+20</f>
        <v>500</v>
      </c>
      <c r="G59" s="8">
        <f>F59+20</f>
        <v>520</v>
      </c>
      <c r="H59" s="8">
        <v>480</v>
      </c>
      <c r="I59" s="8">
        <v>500</v>
      </c>
      <c r="J59" s="8">
        <v>520</v>
      </c>
      <c r="K59" s="8">
        <v>540</v>
      </c>
      <c r="L59" s="8">
        <v>530</v>
      </c>
      <c r="M59" s="8" t="s">
        <v>32</v>
      </c>
    </row>
    <row r="60" spans="2:13">
      <c r="B60" s="13" t="s">
        <v>68</v>
      </c>
      <c r="C60" s="8">
        <v>410</v>
      </c>
      <c r="D60" s="8">
        <v>430</v>
      </c>
      <c r="E60" s="8">
        <v>450</v>
      </c>
      <c r="F60" s="8">
        <f>E60+20</f>
        <v>470</v>
      </c>
      <c r="G60" s="8">
        <f>F60+20</f>
        <v>490</v>
      </c>
      <c r="H60" s="8">
        <v>450</v>
      </c>
      <c r="I60" s="8">
        <v>470</v>
      </c>
      <c r="J60" s="8">
        <v>490</v>
      </c>
      <c r="K60" s="8">
        <v>510</v>
      </c>
      <c r="L60" s="8">
        <v>500</v>
      </c>
      <c r="M60" s="14" t="s">
        <v>66</v>
      </c>
    </row>
    <row r="61" spans="2:13">
      <c r="B61" s="7" t="s">
        <v>146</v>
      </c>
      <c r="C61" s="8">
        <v>430</v>
      </c>
      <c r="D61" s="8">
        <v>450</v>
      </c>
      <c r="E61" s="8">
        <v>470</v>
      </c>
      <c r="F61" s="8">
        <f>E61+20</f>
        <v>490</v>
      </c>
      <c r="G61" s="8">
        <f>F61+20</f>
        <v>510</v>
      </c>
      <c r="H61" s="8">
        <v>470</v>
      </c>
      <c r="I61" s="8">
        <v>500</v>
      </c>
      <c r="J61" s="8">
        <v>520</v>
      </c>
      <c r="K61" s="8">
        <v>540</v>
      </c>
      <c r="L61" s="8">
        <v>530</v>
      </c>
      <c r="M61" s="8" t="s">
        <v>146</v>
      </c>
    </row>
    <row r="62" spans="2:13">
      <c r="B62" s="13" t="s">
        <v>147</v>
      </c>
      <c r="C62" s="8">
        <v>410</v>
      </c>
      <c r="D62" s="8">
        <v>430</v>
      </c>
      <c r="E62" s="8">
        <v>450</v>
      </c>
      <c r="F62" s="8">
        <f>E62+20</f>
        <v>470</v>
      </c>
      <c r="G62" s="8">
        <f>F62+20</f>
        <v>490</v>
      </c>
      <c r="H62" s="8">
        <v>450</v>
      </c>
      <c r="I62" s="8">
        <v>470</v>
      </c>
      <c r="J62" s="8">
        <v>490</v>
      </c>
      <c r="K62" s="8">
        <v>510</v>
      </c>
      <c r="L62" s="8">
        <v>500</v>
      </c>
      <c r="M62" s="14" t="s">
        <v>31</v>
      </c>
    </row>
    <row r="63" spans="2:13">
      <c r="B63" s="7" t="s">
        <v>29</v>
      </c>
      <c r="C63" s="8">
        <v>435</v>
      </c>
      <c r="D63" s="8">
        <v>455</v>
      </c>
      <c r="E63" s="8">
        <v>475</v>
      </c>
      <c r="F63" s="8">
        <f>E63+20</f>
        <v>495</v>
      </c>
      <c r="G63" s="8">
        <f>F63+20</f>
        <v>515</v>
      </c>
      <c r="H63" s="8">
        <v>475</v>
      </c>
      <c r="I63" s="8">
        <v>495</v>
      </c>
      <c r="J63" s="8">
        <v>515</v>
      </c>
      <c r="K63" s="8">
        <v>535</v>
      </c>
      <c r="L63" s="8">
        <v>525</v>
      </c>
      <c r="M63" s="8" t="s">
        <v>29</v>
      </c>
    </row>
    <row r="64" spans="2:13">
      <c r="D64" s="11"/>
      <c r="M64" s="9"/>
    </row>
    <row r="65" spans="2:13">
      <c r="B65" s="7" t="s">
        <v>148</v>
      </c>
      <c r="C65" s="8">
        <v>440</v>
      </c>
      <c r="D65" s="11">
        <v>460</v>
      </c>
      <c r="E65" s="8">
        <v>480</v>
      </c>
      <c r="F65" s="8">
        <v>500</v>
      </c>
      <c r="G65" s="8">
        <v>520</v>
      </c>
      <c r="H65" s="8">
        <v>480</v>
      </c>
      <c r="I65" s="8">
        <v>500</v>
      </c>
      <c r="J65" s="8">
        <v>520</v>
      </c>
      <c r="K65" s="8">
        <v>540</v>
      </c>
      <c r="L65" s="8">
        <v>530</v>
      </c>
      <c r="M65" s="8" t="s">
        <v>148</v>
      </c>
    </row>
    <row r="66" spans="2:13">
      <c r="B66" s="7" t="s">
        <v>109</v>
      </c>
      <c r="C66" s="8">
        <v>440</v>
      </c>
      <c r="D66" s="11">
        <v>460</v>
      </c>
      <c r="E66" s="8">
        <v>480</v>
      </c>
      <c r="F66" s="8">
        <v>500</v>
      </c>
      <c r="G66" s="8">
        <v>520</v>
      </c>
      <c r="H66" s="8">
        <v>480</v>
      </c>
      <c r="I66" s="8">
        <v>500</v>
      </c>
      <c r="J66" s="8">
        <v>520</v>
      </c>
      <c r="K66" s="8">
        <v>540</v>
      </c>
      <c r="L66" s="8">
        <v>530</v>
      </c>
      <c r="M66" s="8" t="s">
        <v>109</v>
      </c>
    </row>
    <row r="67" spans="2:13">
      <c r="B67" s="7" t="s">
        <v>149</v>
      </c>
      <c r="C67" s="8">
        <v>430</v>
      </c>
      <c r="D67" s="11">
        <v>450</v>
      </c>
      <c r="E67" s="8">
        <v>470</v>
      </c>
      <c r="F67" s="8">
        <v>490</v>
      </c>
      <c r="G67" s="8">
        <v>510</v>
      </c>
      <c r="H67" s="8">
        <v>470</v>
      </c>
      <c r="I67" s="8">
        <v>490</v>
      </c>
      <c r="J67" s="8">
        <v>510</v>
      </c>
      <c r="K67" s="8">
        <v>530</v>
      </c>
      <c r="L67" s="8">
        <v>520</v>
      </c>
      <c r="M67" s="8" t="s">
        <v>149</v>
      </c>
    </row>
    <row r="68" spans="2:13">
      <c r="B68" s="7" t="s">
        <v>111</v>
      </c>
      <c r="C68" s="8">
        <v>440</v>
      </c>
      <c r="D68" s="8">
        <v>460</v>
      </c>
      <c r="E68" s="8">
        <v>480</v>
      </c>
      <c r="F68" s="8">
        <v>500</v>
      </c>
      <c r="G68" s="8">
        <v>520</v>
      </c>
      <c r="H68" s="8">
        <v>480</v>
      </c>
      <c r="I68" s="8">
        <v>500</v>
      </c>
      <c r="J68" s="8">
        <v>520</v>
      </c>
      <c r="K68" s="8">
        <v>540</v>
      </c>
      <c r="L68" s="8">
        <v>530</v>
      </c>
      <c r="M68" s="8" t="s">
        <v>111</v>
      </c>
    </row>
    <row r="69" spans="2:13">
      <c r="B69" s="7" t="s">
        <v>150</v>
      </c>
      <c r="C69" s="8">
        <v>430</v>
      </c>
      <c r="D69" s="8">
        <v>460</v>
      </c>
      <c r="E69" s="8">
        <v>480</v>
      </c>
      <c r="F69" s="8">
        <v>500</v>
      </c>
      <c r="G69" s="8">
        <v>520</v>
      </c>
      <c r="H69" s="8">
        <v>480</v>
      </c>
      <c r="I69" s="8">
        <v>510</v>
      </c>
      <c r="J69" s="8">
        <v>530</v>
      </c>
      <c r="K69" s="8">
        <v>550</v>
      </c>
      <c r="L69" s="8">
        <v>540</v>
      </c>
      <c r="M69" s="8" t="s">
        <v>150</v>
      </c>
    </row>
    <row r="70" spans="2:13">
      <c r="B70" s="7" t="s">
        <v>151</v>
      </c>
      <c r="E70" s="8">
        <v>490</v>
      </c>
      <c r="F70" s="8">
        <v>510</v>
      </c>
      <c r="G70" s="8">
        <v>530</v>
      </c>
      <c r="H70" s="8">
        <v>490</v>
      </c>
      <c r="I70" s="8">
        <v>510</v>
      </c>
      <c r="J70" s="8">
        <v>530</v>
      </c>
      <c r="K70" s="8">
        <v>550</v>
      </c>
      <c r="L70" s="8">
        <v>540</v>
      </c>
      <c r="M70" s="8" t="s">
        <v>151</v>
      </c>
    </row>
    <row r="71" spans="2:13">
      <c r="B71" s="7" t="s">
        <v>85</v>
      </c>
      <c r="E71" s="8">
        <v>450</v>
      </c>
      <c r="F71" s="8">
        <v>470</v>
      </c>
      <c r="G71" s="8">
        <v>490</v>
      </c>
      <c r="H71" s="8">
        <v>480</v>
      </c>
      <c r="I71" s="8">
        <v>480</v>
      </c>
      <c r="J71" s="8">
        <v>500</v>
      </c>
      <c r="K71" s="8">
        <v>520</v>
      </c>
      <c r="L71" s="8">
        <v>510</v>
      </c>
      <c r="M71" s="8" t="s">
        <v>85</v>
      </c>
    </row>
    <row r="72" spans="2:13">
      <c r="B72" s="7" t="s">
        <v>152</v>
      </c>
      <c r="F72" s="8" t="s">
        <v>153</v>
      </c>
      <c r="I72" s="8">
        <v>500</v>
      </c>
      <c r="J72" s="8">
        <v>520</v>
      </c>
      <c r="K72" s="8">
        <v>540</v>
      </c>
      <c r="L72" s="8">
        <v>530</v>
      </c>
      <c r="M72" s="8" t="s">
        <v>154</v>
      </c>
    </row>
    <row r="73" spans="2:13">
      <c r="I73" s="8">
        <v>490</v>
      </c>
      <c r="J73" s="8">
        <v>510</v>
      </c>
      <c r="K73" s="8">
        <v>530</v>
      </c>
      <c r="L73" s="8">
        <v>520</v>
      </c>
      <c r="M73" s="8" t="s">
        <v>155</v>
      </c>
    </row>
    <row r="74" spans="2:13">
      <c r="M74" s="8" t="s">
        <v>156</v>
      </c>
    </row>
  </sheetData>
  <autoFilter xmlns:etc="http://www.wps.cn/officeDocument/2017/etCustomData" ref="B1:O74" etc:filterBottomFollowUsedRange="0">
    <extLst/>
  </autoFilter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F39"/>
  <sheetViews>
    <sheetView workbookViewId="0">
      <selection activeCell="C34" sqref="C34"/>
    </sheetView>
  </sheetViews>
  <sheetFormatPr defaultColWidth="9" defaultRowHeight="13.5" outlineLevelCol="5"/>
  <cols>
    <col min="2" max="2" width="12.625" customWidth="1"/>
  </cols>
  <sheetData>
    <row r="1" ht="16.5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16.5" spans="1:6">
      <c r="A2" s="2" t="s">
        <v>29</v>
      </c>
      <c r="B2" s="3">
        <v>535000</v>
      </c>
      <c r="C2" s="4" t="s">
        <v>30</v>
      </c>
      <c r="D2" s="3"/>
      <c r="E2" s="3"/>
      <c r="F2" s="5"/>
    </row>
    <row r="3" ht="16.5" spans="1:6">
      <c r="A3" s="2" t="s">
        <v>31</v>
      </c>
      <c r="B3" s="3">
        <v>520000</v>
      </c>
      <c r="C3" s="4" t="s">
        <v>30</v>
      </c>
      <c r="D3" s="3">
        <v>370000</v>
      </c>
      <c r="E3" s="3"/>
      <c r="F3" s="5"/>
    </row>
    <row r="4" ht="16.5" spans="1:6">
      <c r="A4" s="2" t="s">
        <v>68</v>
      </c>
      <c r="B4" s="3">
        <v>490000</v>
      </c>
      <c r="C4" s="4" t="s">
        <v>30</v>
      </c>
      <c r="D4" s="3">
        <v>350000</v>
      </c>
      <c r="E4" s="3">
        <v>170000</v>
      </c>
      <c r="F4" s="5"/>
    </row>
    <row r="5" ht="16.5" spans="1:6">
      <c r="A5" s="2" t="s">
        <v>32</v>
      </c>
      <c r="B5" s="3">
        <v>520000</v>
      </c>
      <c r="C5" s="4" t="s">
        <v>30</v>
      </c>
      <c r="D5" s="3"/>
      <c r="E5" s="3"/>
      <c r="F5" s="5"/>
    </row>
    <row r="6" ht="16.5" spans="1:6">
      <c r="A6" s="2" t="s">
        <v>33</v>
      </c>
      <c r="B6" s="3">
        <v>500000</v>
      </c>
      <c r="C6" s="4" t="s">
        <v>30</v>
      </c>
      <c r="D6" s="3">
        <v>380000</v>
      </c>
      <c r="E6" s="3">
        <v>180000</v>
      </c>
      <c r="F6" s="5"/>
    </row>
    <row r="7" ht="16.5" spans="1:6">
      <c r="A7" s="2" t="s">
        <v>34</v>
      </c>
      <c r="B7" s="3">
        <v>510000</v>
      </c>
      <c r="C7" s="4" t="s">
        <v>30</v>
      </c>
      <c r="D7" s="3"/>
      <c r="E7" s="3"/>
      <c r="F7" s="5"/>
    </row>
    <row r="8" ht="16.5" spans="1:6">
      <c r="A8" s="2" t="s">
        <v>35</v>
      </c>
      <c r="B8" s="3">
        <v>510000</v>
      </c>
      <c r="C8" s="4" t="s">
        <v>30</v>
      </c>
      <c r="D8" s="3"/>
      <c r="E8" s="3"/>
      <c r="F8" s="5"/>
    </row>
    <row r="9" ht="16.5" spans="1:6">
      <c r="A9" s="2" t="s">
        <v>36</v>
      </c>
      <c r="B9" s="3">
        <v>490000</v>
      </c>
      <c r="C9" s="4" t="s">
        <v>30</v>
      </c>
      <c r="D9" s="3"/>
      <c r="E9" s="3"/>
      <c r="F9" s="5"/>
    </row>
    <row r="10" ht="16.5" spans="1:6">
      <c r="A10" s="2" t="s">
        <v>37</v>
      </c>
      <c r="B10" s="3">
        <v>510000</v>
      </c>
      <c r="C10" s="4" t="s">
        <v>30</v>
      </c>
      <c r="D10" s="3"/>
      <c r="E10" s="3"/>
      <c r="F10" s="5"/>
    </row>
    <row r="11" ht="16.5" spans="1:6">
      <c r="A11" s="2" t="s">
        <v>38</v>
      </c>
      <c r="B11" s="3">
        <v>490000</v>
      </c>
      <c r="C11" s="4" t="s">
        <v>30</v>
      </c>
      <c r="D11" s="3"/>
      <c r="E11" s="3"/>
      <c r="F11" s="5"/>
    </row>
    <row r="12" ht="16.5" spans="1:6">
      <c r="A12" s="2" t="s">
        <v>39</v>
      </c>
      <c r="B12" s="3">
        <v>490000</v>
      </c>
      <c r="C12" s="4" t="s">
        <v>30</v>
      </c>
      <c r="D12" s="3"/>
      <c r="E12" s="3"/>
      <c r="F12" s="5"/>
    </row>
    <row r="13" ht="16.5" spans="1:6">
      <c r="A13" s="2" t="s">
        <v>40</v>
      </c>
      <c r="B13" s="3">
        <v>500000</v>
      </c>
      <c r="C13" s="4" t="s">
        <v>30</v>
      </c>
      <c r="D13" s="3"/>
      <c r="E13" s="3"/>
      <c r="F13" s="5"/>
    </row>
    <row r="14" ht="16.5" spans="1:6">
      <c r="A14" s="2" t="s">
        <v>41</v>
      </c>
      <c r="B14" s="3">
        <v>520000</v>
      </c>
      <c r="C14" s="4" t="s">
        <v>30</v>
      </c>
      <c r="D14" s="3">
        <v>400000</v>
      </c>
      <c r="E14" s="3">
        <v>220000</v>
      </c>
      <c r="F14" s="5"/>
    </row>
    <row r="15" ht="16.5" spans="1:6">
      <c r="A15" s="2" t="s">
        <v>42</v>
      </c>
      <c r="B15" s="3">
        <v>510000</v>
      </c>
      <c r="C15" s="4" t="s">
        <v>30</v>
      </c>
      <c r="D15" s="3"/>
      <c r="E15" s="3"/>
      <c r="F15" s="5"/>
    </row>
    <row r="16" ht="16.5" spans="1:6">
      <c r="A16" s="2" t="s">
        <v>43</v>
      </c>
      <c r="B16" s="3">
        <v>510000</v>
      </c>
      <c r="C16" s="4" t="s">
        <v>30</v>
      </c>
      <c r="D16" s="3">
        <v>380000</v>
      </c>
      <c r="E16" s="3">
        <v>190000</v>
      </c>
      <c r="F16" s="5"/>
    </row>
    <row r="17" ht="16.5" spans="1:6">
      <c r="A17" s="2" t="s">
        <v>44</v>
      </c>
      <c r="B17" s="3">
        <v>530000</v>
      </c>
      <c r="C17" s="4" t="s">
        <v>30</v>
      </c>
      <c r="D17" s="3"/>
      <c r="E17" s="3"/>
      <c r="F17" s="5"/>
    </row>
    <row r="18" ht="16.5" spans="1:6">
      <c r="A18" s="2" t="s">
        <v>45</v>
      </c>
      <c r="B18" s="3">
        <v>500000</v>
      </c>
      <c r="C18" s="4" t="s">
        <v>30</v>
      </c>
      <c r="D18" s="3"/>
      <c r="E18" s="3"/>
      <c r="F18" s="5"/>
    </row>
    <row r="19" ht="16.5" spans="1:6">
      <c r="A19" s="2" t="s">
        <v>46</v>
      </c>
      <c r="B19" s="3">
        <v>515000</v>
      </c>
      <c r="C19" s="4" t="s">
        <v>30</v>
      </c>
      <c r="D19" s="3"/>
      <c r="E19" s="3"/>
      <c r="F19" s="5"/>
    </row>
    <row r="20" ht="16.5" spans="1:6">
      <c r="A20" s="2" t="s">
        <v>47</v>
      </c>
      <c r="B20" s="3">
        <v>470000</v>
      </c>
      <c r="C20" s="4" t="s">
        <v>30</v>
      </c>
      <c r="D20" s="3"/>
      <c r="E20" s="3"/>
      <c r="F20" s="5"/>
    </row>
    <row r="21" ht="16.5" spans="1:6">
      <c r="A21" s="2" t="s">
        <v>48</v>
      </c>
      <c r="B21" s="3">
        <v>505000</v>
      </c>
      <c r="C21" s="4" t="s">
        <v>30</v>
      </c>
      <c r="D21" s="3"/>
      <c r="E21" s="3"/>
      <c r="F21" s="5"/>
    </row>
    <row r="22" ht="16.5" spans="1:6">
      <c r="A22" s="2" t="s">
        <v>49</v>
      </c>
      <c r="B22" s="3">
        <v>515000</v>
      </c>
      <c r="C22" s="4" t="s">
        <v>30</v>
      </c>
      <c r="D22" s="3"/>
      <c r="E22" s="3"/>
      <c r="F22" s="5"/>
    </row>
    <row r="23" ht="16.5" spans="1:6">
      <c r="A23" s="2" t="s">
        <v>50</v>
      </c>
      <c r="B23" s="3">
        <v>510000</v>
      </c>
      <c r="C23" s="4" t="s">
        <v>30</v>
      </c>
      <c r="D23" s="3"/>
      <c r="E23" s="3"/>
      <c r="F23" s="5"/>
    </row>
    <row r="24" ht="16.5" spans="1:6">
      <c r="A24" s="2" t="s">
        <v>51</v>
      </c>
      <c r="B24" s="3">
        <v>505000</v>
      </c>
      <c r="C24" s="4" t="s">
        <v>30</v>
      </c>
      <c r="D24" s="3"/>
      <c r="E24" s="3"/>
      <c r="F24" s="5"/>
    </row>
    <row r="25" ht="16.5" spans="1:6">
      <c r="A25" s="2" t="s">
        <v>71</v>
      </c>
      <c r="B25" s="3">
        <v>490000</v>
      </c>
      <c r="C25" s="4" t="s">
        <v>30</v>
      </c>
      <c r="D25" s="3">
        <v>350000</v>
      </c>
      <c r="E25" s="3">
        <v>170000</v>
      </c>
      <c r="F25" s="5"/>
    </row>
    <row r="26" ht="16.5" spans="1:6">
      <c r="A26" s="2" t="s">
        <v>52</v>
      </c>
      <c r="B26" s="3">
        <v>520000</v>
      </c>
      <c r="C26" s="4" t="s">
        <v>30</v>
      </c>
      <c r="D26" s="3"/>
      <c r="E26" s="3"/>
      <c r="F26" s="5"/>
    </row>
    <row r="27" ht="16.5" spans="1:6">
      <c r="A27" s="2" t="s">
        <v>53</v>
      </c>
      <c r="B27" s="3">
        <v>515000</v>
      </c>
      <c r="C27" s="4" t="s">
        <v>30</v>
      </c>
      <c r="D27" s="3"/>
      <c r="E27" s="3"/>
      <c r="F27" s="5"/>
    </row>
    <row r="28" ht="16.5" spans="1:6">
      <c r="A28" s="2" t="s">
        <v>54</v>
      </c>
      <c r="B28" s="3">
        <v>490000</v>
      </c>
      <c r="C28" s="4" t="s">
        <v>30</v>
      </c>
      <c r="D28" s="3"/>
      <c r="E28" s="3">
        <v>190000</v>
      </c>
      <c r="F28" s="5"/>
    </row>
    <row r="29" ht="16.5" spans="1:6">
      <c r="A29" s="2" t="s">
        <v>55</v>
      </c>
      <c r="B29" s="3">
        <v>510000</v>
      </c>
      <c r="C29" s="4" t="s">
        <v>30</v>
      </c>
      <c r="D29" s="3"/>
      <c r="E29" s="3"/>
      <c r="F29" s="5"/>
    </row>
    <row r="30" ht="16.5" spans="1:6">
      <c r="A30" s="2" t="s">
        <v>56</v>
      </c>
      <c r="B30" s="3">
        <v>520000</v>
      </c>
      <c r="C30" s="4" t="s">
        <v>30</v>
      </c>
      <c r="D30" s="3"/>
      <c r="E30" s="3"/>
      <c r="F30" s="5"/>
    </row>
    <row r="31" ht="16.5" spans="1:6">
      <c r="A31" s="2" t="s">
        <v>57</v>
      </c>
      <c r="B31" s="3">
        <v>500000</v>
      </c>
      <c r="C31" s="4" t="s">
        <v>30</v>
      </c>
      <c r="D31" s="3">
        <v>380000</v>
      </c>
      <c r="E31" s="3">
        <v>190000</v>
      </c>
      <c r="F31" s="5"/>
    </row>
    <row r="32" ht="16.5" spans="1:6">
      <c r="A32" s="2" t="s">
        <v>58</v>
      </c>
      <c r="B32" s="3">
        <v>500000</v>
      </c>
      <c r="C32" s="4" t="s">
        <v>30</v>
      </c>
      <c r="D32" s="3"/>
      <c r="E32" s="3"/>
      <c r="F32" s="5"/>
    </row>
    <row r="33" ht="16.5" spans="1:6">
      <c r="A33" s="2" t="s">
        <v>59</v>
      </c>
      <c r="B33" s="3">
        <v>500000</v>
      </c>
      <c r="C33" s="4" t="s">
        <v>30</v>
      </c>
      <c r="D33" s="3"/>
      <c r="E33" s="3"/>
      <c r="F33" s="5"/>
    </row>
    <row r="34" ht="16.5" spans="1:6">
      <c r="A34" s="2" t="s">
        <v>60</v>
      </c>
      <c r="B34" s="3">
        <v>520000</v>
      </c>
      <c r="C34" s="4" t="s">
        <v>30</v>
      </c>
      <c r="D34" s="3"/>
      <c r="E34" s="3"/>
      <c r="F34" s="5"/>
    </row>
    <row r="35" ht="16.5" spans="1:6">
      <c r="A35" s="2" t="s">
        <v>61</v>
      </c>
      <c r="B35" s="3">
        <v>500000</v>
      </c>
      <c r="C35" s="4" t="s">
        <v>30</v>
      </c>
      <c r="D35" s="3"/>
      <c r="E35" s="3"/>
      <c r="F35" s="5"/>
    </row>
    <row r="36" ht="16.5" spans="1:6">
      <c r="A36" s="2" t="s">
        <v>62</v>
      </c>
      <c r="B36" s="3">
        <v>500000</v>
      </c>
      <c r="C36" s="4" t="s">
        <v>30</v>
      </c>
      <c r="D36" s="3">
        <v>390000</v>
      </c>
      <c r="E36" s="3">
        <v>200000</v>
      </c>
      <c r="F36" s="5"/>
    </row>
    <row r="37" ht="16.5" spans="1:6">
      <c r="A37" s="2" t="s">
        <v>63</v>
      </c>
      <c r="B37" s="3">
        <v>500000</v>
      </c>
      <c r="C37" s="4" t="s">
        <v>30</v>
      </c>
      <c r="D37" s="3">
        <v>390000</v>
      </c>
      <c r="E37" s="3">
        <v>170000</v>
      </c>
      <c r="F37" s="5"/>
    </row>
    <row r="38" ht="16.5" spans="1:6">
      <c r="A38" s="2" t="s">
        <v>64</v>
      </c>
      <c r="B38" s="6"/>
      <c r="C38" s="4" t="s">
        <v>30</v>
      </c>
      <c r="D38" s="6"/>
      <c r="E38" s="6"/>
      <c r="F38" s="5"/>
    </row>
    <row r="39" ht="16.5" spans="1:6">
      <c r="A39" s="2" t="s">
        <v>65</v>
      </c>
      <c r="B39" s="3">
        <v>500000</v>
      </c>
      <c r="C39" s="4" t="s">
        <v>30</v>
      </c>
      <c r="D39" s="3">
        <v>380000</v>
      </c>
      <c r="E39" s="3">
        <v>170000</v>
      </c>
      <c r="F39" s="5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存款限量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2026-05-18T05:00:04Z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3EEFA193575042BB97E373C13F1007E0_12</vt:lpwstr>
  </property>
  <property fmtid="{D5CDD505-2E9C-101B-9397-08002B2CF9AE}" pid="4" name="CalculationRule">
    <vt:i4>0</vt:i4>
  </property>
</Properties>
</file>