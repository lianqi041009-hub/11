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55" firstSheet="2" activeTab="3"/>
  </bookViews>
  <sheets>
    <sheet name="Sheet1" sheetId="1" r:id="rId1"/>
    <sheet name="Sheet2" sheetId="17" r:id="rId2"/>
    <sheet name="Sheet3" sheetId="6" r:id="rId3"/>
    <sheet name="Sheet4" sheetId="18" r:id="rId4"/>
  </sheets>
  <definedNames>
    <definedName name="_xlnm._FilterDatabase" localSheetId="1" hidden="1">Sheet2!$B$1:$S$74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余泽鑫</author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余泽鑫:</t>
        </r>
        <r>
          <rPr>
            <sz val="9"/>
            <rFont val="宋体"/>
            <charset val="134"/>
          </rPr>
          <t xml:space="preserve">
（存款价格）低于当前定价以存款价格为准 高于当前定价则以当前定价为准</t>
        </r>
      </text>
    </comment>
    <comment ref="I1" authorId="0">
      <text>
        <r>
          <rPr>
            <b/>
            <sz val="9"/>
            <rFont val="宋体"/>
            <charset val="134"/>
          </rPr>
          <t>余泽鑫:</t>
        </r>
        <r>
          <rPr>
            <sz val="9"/>
            <rFont val="宋体"/>
            <charset val="134"/>
          </rPr>
          <t xml:space="preserve">
（存款价格）低于当前定价以存款价格为准 高于当前定价则以当前定价为准</t>
        </r>
      </text>
    </comment>
    <comment ref="J1" authorId="0">
      <text>
        <r>
          <rPr>
            <b/>
            <sz val="9"/>
            <rFont val="宋体"/>
            <charset val="134"/>
          </rPr>
          <t>余泽鑫:</t>
        </r>
        <r>
          <rPr>
            <sz val="9"/>
            <rFont val="宋体"/>
            <charset val="134"/>
          </rPr>
          <t xml:space="preserve">
（存款价格）低于当前定价以存款价格为准 高于当前定价则以当前定价为准</t>
        </r>
      </text>
    </comment>
    <comment ref="K1" authorId="0">
      <text>
        <r>
          <rPr>
            <b/>
            <sz val="9"/>
            <rFont val="宋体"/>
            <charset val="134"/>
          </rPr>
          <t>余泽鑫:</t>
        </r>
        <r>
          <rPr>
            <sz val="9"/>
            <rFont val="宋体"/>
            <charset val="134"/>
          </rPr>
          <t xml:space="preserve">
（存款价格）低于当前定价以存款价格为准 高于当前定价则以当前定价为准</t>
        </r>
      </text>
    </comment>
    <comment ref="C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3号后给1M营业额价格410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9号后 且1M价格410额度用完后  给500条营业额价格420
</t>
        </r>
      </text>
    </comment>
    <comment ref="E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19号后 且500条价格420额度用完后  给500条营业额价格440</t>
        </r>
      </text>
    </comment>
    <comment ref="F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26号后 且600条价格440额度用完后  给500条营业额价格460，耗尽后480
</t>
        </r>
      </text>
    </comment>
    <comment ref="C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3号后给1M营业额价格410
</t>
        </r>
      </text>
    </comment>
    <comment ref="D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9号后 且1M价格410额度用完后  给1.3M营业额价格420
</t>
        </r>
      </text>
    </comment>
    <comment ref="E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19号后 且1.3M格420额度用完后  给800条营业额价格440</t>
        </r>
      </text>
    </comment>
    <comment ref="F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26号后 且800条价格440额度用完后  给700条营业额价格460，耗尽后480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合约
</t>
        </r>
      </text>
    </comment>
  </commentList>
</comments>
</file>

<file path=xl/sharedStrings.xml><?xml version="1.0" encoding="utf-8"?>
<sst xmlns="http://schemas.openxmlformats.org/spreadsheetml/2006/main" count="408" uniqueCount="154">
  <si>
    <t>客户名称</t>
  </si>
  <si>
    <t>今日价格(手填)</t>
  </si>
  <si>
    <t>账目校验</t>
  </si>
  <si>
    <t>KW2(手填)</t>
  </si>
  <si>
    <t>KW3(手填)</t>
  </si>
  <si>
    <t>日期1(手填)</t>
  </si>
  <si>
    <t>价格1</t>
  </si>
  <si>
    <t>资金池1</t>
  </si>
  <si>
    <t>日期2(手填)</t>
  </si>
  <si>
    <t>价格2</t>
  </si>
  <si>
    <t>资金池2</t>
  </si>
  <si>
    <t>日期3(手填)</t>
  </si>
  <si>
    <t>价格3</t>
  </si>
  <si>
    <t>资金池3</t>
  </si>
  <si>
    <t>日期4(手填)</t>
  </si>
  <si>
    <t>价格4</t>
  </si>
  <si>
    <t>资金池4</t>
  </si>
  <si>
    <t>日期5(手填)</t>
  </si>
  <si>
    <t>价格5</t>
  </si>
  <si>
    <t>资金池5</t>
  </si>
  <si>
    <t>日期6(手填)</t>
  </si>
  <si>
    <t>价格6</t>
  </si>
  <si>
    <t>资金池6</t>
  </si>
  <si>
    <t>日期7(手填)</t>
  </si>
  <si>
    <t>价格7</t>
  </si>
  <si>
    <t>资金池7</t>
  </si>
  <si>
    <t>日期8(手填)</t>
  </si>
  <si>
    <t>价格8</t>
  </si>
  <si>
    <t>资金池8</t>
  </si>
  <si>
    <t>日期9(手填)</t>
  </si>
  <si>
    <t>价格9</t>
  </si>
  <si>
    <t>资金池9</t>
  </si>
  <si>
    <t>ZEL</t>
  </si>
  <si>
    <t>相等</t>
  </si>
  <si>
    <t>JB</t>
  </si>
  <si>
    <t>TK</t>
  </si>
  <si>
    <t>STA</t>
  </si>
  <si>
    <t>SBC</t>
  </si>
  <si>
    <t>SAN</t>
  </si>
  <si>
    <t>SH</t>
  </si>
  <si>
    <t>SA</t>
  </si>
  <si>
    <t>PGG</t>
  </si>
  <si>
    <t>PJA</t>
  </si>
  <si>
    <t>PM</t>
  </si>
  <si>
    <t>RT</t>
  </si>
  <si>
    <t>NJP</t>
  </si>
  <si>
    <t>MTS</t>
  </si>
  <si>
    <t>MBR</t>
  </si>
  <si>
    <t>MJS</t>
  </si>
  <si>
    <t>MJY</t>
  </si>
  <si>
    <t>ME</t>
  </si>
  <si>
    <t>LY</t>
  </si>
  <si>
    <t>LM</t>
  </si>
  <si>
    <t>KJP</t>
  </si>
  <si>
    <t>JI</t>
  </si>
  <si>
    <t>JBR</t>
  </si>
  <si>
    <t>IMM</t>
  </si>
  <si>
    <t>HW</t>
  </si>
  <si>
    <t>HA</t>
  </si>
  <si>
    <t>CPS</t>
  </si>
  <si>
    <t>BUM</t>
  </si>
  <si>
    <t>BML</t>
  </si>
  <si>
    <t>BJ</t>
  </si>
  <si>
    <t>BAIG</t>
  </si>
  <si>
    <t>BAM</t>
  </si>
  <si>
    <t>API</t>
  </si>
  <si>
    <t>SBR</t>
  </si>
  <si>
    <t>SG</t>
  </si>
  <si>
    <t>LS</t>
  </si>
  <si>
    <t>GJ</t>
  </si>
  <si>
    <t>IKS</t>
  </si>
  <si>
    <t>BDM</t>
  </si>
  <si>
    <t>DP</t>
  </si>
  <si>
    <t>FJ2</t>
  </si>
  <si>
    <t>SRD</t>
  </si>
  <si>
    <t>SAD</t>
  </si>
  <si>
    <t>PPC</t>
  </si>
  <si>
    <t>CD</t>
  </si>
  <si>
    <t>BIG</t>
  </si>
  <si>
    <t xml:space="preserve">APW </t>
  </si>
  <si>
    <t>1月3账户存款用完后价格如下</t>
  </si>
  <si>
    <t>1月9账户存款用完后价格如下</t>
  </si>
  <si>
    <t>1月19账户存款用完后价格如下</t>
  </si>
  <si>
    <t>1月26账户存款用完后价格如下</t>
  </si>
  <si>
    <t>2月2账户存款用完后价格如下</t>
  </si>
  <si>
    <t>2月23日起价格</t>
  </si>
  <si>
    <t>3月2日起价格</t>
  </si>
  <si>
    <t>3月9日起价格</t>
  </si>
  <si>
    <t>4月3日起价格</t>
  </si>
  <si>
    <t>4月8日起价格</t>
  </si>
  <si>
    <t>4月15日起价格</t>
  </si>
  <si>
    <t>4月20日起价格</t>
  </si>
  <si>
    <t>4月29日起价格</t>
  </si>
  <si>
    <t>5月18日起价格（本期）</t>
  </si>
  <si>
    <t>AAG</t>
  </si>
  <si>
    <t>ARY</t>
  </si>
  <si>
    <t>SCN</t>
  </si>
  <si>
    <t>SUB</t>
  </si>
  <si>
    <t>AL</t>
  </si>
  <si>
    <t>BUM/BML</t>
  </si>
  <si>
    <t>CVA</t>
  </si>
  <si>
    <t>CVM</t>
  </si>
  <si>
    <t>EDU</t>
  </si>
  <si>
    <t>HY</t>
  </si>
  <si>
    <t>IG</t>
  </si>
  <si>
    <t>II</t>
  </si>
  <si>
    <t>JAS</t>
  </si>
  <si>
    <t>JH</t>
  </si>
  <si>
    <t>JPTTF</t>
  </si>
  <si>
    <t>KM</t>
  </si>
  <si>
    <t>LMS</t>
  </si>
  <si>
    <t>LH</t>
  </si>
  <si>
    <t>LY/JI</t>
  </si>
  <si>
    <t>MM</t>
  </si>
  <si>
    <t>NBP</t>
  </si>
  <si>
    <t>PO</t>
  </si>
  <si>
    <t>PSI</t>
  </si>
  <si>
    <t>PSI(SUS</t>
  </si>
  <si>
    <t>SA-KBS</t>
  </si>
  <si>
    <t>SO</t>
  </si>
  <si>
    <t>STL</t>
  </si>
  <si>
    <t>TD</t>
  </si>
  <si>
    <t>TM</t>
  </si>
  <si>
    <t>TSI</t>
  </si>
  <si>
    <t>YS</t>
  </si>
  <si>
    <t>ZAT</t>
  </si>
  <si>
    <t>ZZ</t>
  </si>
  <si>
    <t>PPN</t>
  </si>
  <si>
    <t>PDS</t>
  </si>
  <si>
    <t>KEP</t>
  </si>
  <si>
    <t>TPM</t>
  </si>
  <si>
    <t>GKI</t>
  </si>
  <si>
    <t>HMI</t>
  </si>
  <si>
    <t>原价</t>
  </si>
  <si>
    <t>APW</t>
  </si>
  <si>
    <t>TCML</t>
  </si>
  <si>
    <t>JJMI</t>
  </si>
  <si>
    <t>HMI税</t>
  </si>
  <si>
    <t>DWN</t>
  </si>
  <si>
    <t>日期</t>
  </si>
  <si>
    <t>账户名称</t>
  </si>
  <si>
    <t>客户简称</t>
  </si>
  <si>
    <t>客户编号</t>
  </si>
  <si>
    <t>存款金额</t>
  </si>
  <si>
    <t>价格</t>
  </si>
  <si>
    <t>LINZHENSHU</t>
  </si>
  <si>
    <t>YUYUNZHEN</t>
  </si>
  <si>
    <t>AINUL ANDRIYANI</t>
  </si>
  <si>
    <t>砖款现金</t>
  </si>
  <si>
    <t>公司账户</t>
  </si>
  <si>
    <t>PDS-68</t>
  </si>
  <si>
    <t>PDS-69</t>
  </si>
  <si>
    <t>PDS-70</t>
  </si>
  <si>
    <t>PDS-71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</si>
</sst>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b/>
      <sz val="11"/>
      <color rgb="FFFF450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00B05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8E6"/>
      </left>
      <right style="thin">
        <color rgb="FFB4C8E6"/>
      </right>
      <top style="thin">
        <color rgb="FFB4C8E6"/>
      </top>
      <bottom style="thin">
        <color rgb="FFB4C8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3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14" borderId="6">
      <alignment vertical="center"/>
    </xf>
    <xf numFmtId="0" fontId="20" fillId="15" borderId="7">
      <alignment vertical="center"/>
    </xf>
    <xf numFmtId="0" fontId="21" fillId="15" borderId="6">
      <alignment vertical="center"/>
    </xf>
    <xf numFmtId="0" fontId="22" fillId="16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9" fillId="41" borderId="0">
      <alignment vertical="center"/>
    </xf>
    <xf numFmtId="0" fontId="29" fillId="42" borderId="0">
      <alignment vertical="center"/>
    </xf>
    <xf numFmtId="0" fontId="28" fillId="43" borderId="0">
      <alignment vertical="center"/>
    </xf>
  </cellStyleXfs>
  <cellXfs count="38"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8" fillId="9" borderId="0" xfId="0" applyFont="1" applyFill="1" applyAlignment="1">
      <alignment horizontal="center" vertical="center"/>
    </xf>
    <xf numFmtId="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10" borderId="2" xfId="0" applyNumberFormat="1" applyFont="1" applyFill="1" applyBorder="1" applyAlignment="1">
      <alignment horizontal="center" vertical="center"/>
    </xf>
    <xf numFmtId="176" fontId="5" fillId="11" borderId="2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176" fontId="5" fillId="12" borderId="2" xfId="0" applyNumberFormat="1" applyFont="1" applyFill="1" applyBorder="1" applyAlignment="1">
      <alignment horizontal="center" vertical="center"/>
    </xf>
    <xf numFmtId="176" fontId="10" fillId="11" borderId="2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48"/>
  <sheetViews>
    <sheetView workbookViewId="0">
      <pane xSplit="5" ySplit="1" topLeftCell="F14" activePane="bottomRight" state="frozen"/>
      <selection/>
      <selection pane="topRight"/>
      <selection pane="bottomLeft"/>
      <selection pane="bottomRight" activeCell="F37" sqref="F37"/>
    </sheetView>
  </sheetViews>
  <sheetFormatPr defaultColWidth="9" defaultRowHeight="13.5"/>
  <cols>
    <col min="1" max="1" width="7.875" style="28" customWidth="1"/>
    <col min="2" max="2" width="12.625" style="28" customWidth="1"/>
    <col min="3" max="3" width="7.875" style="28" customWidth="1"/>
    <col min="4" max="5" width="9.75" style="28" customWidth="1"/>
    <col min="6" max="6" width="10.125" style="28" customWidth="1"/>
    <col min="7" max="7" width="8.75" style="29" customWidth="1"/>
    <col min="8" max="8" width="12.375" style="29" customWidth="1"/>
    <col min="9" max="10" width="11.25" style="29" customWidth="1"/>
    <col min="11" max="11" width="13.5" style="29" customWidth="1"/>
    <col min="12" max="12" width="11.25" style="29" customWidth="1"/>
    <col min="13" max="13" width="8.75" style="29" customWidth="1"/>
    <col min="14" max="14" width="12.375" style="29" customWidth="1"/>
    <col min="15" max="15" width="11.25" style="29" customWidth="1"/>
    <col min="16" max="16" width="8.75" style="29" customWidth="1"/>
    <col min="17" max="17" width="12.375" style="29" customWidth="1"/>
    <col min="18" max="18" width="11.25" style="29" customWidth="1"/>
    <col min="19" max="19" width="8.75" style="29" customWidth="1"/>
    <col min="20" max="20" width="12.375" style="29" customWidth="1"/>
    <col min="21" max="21" width="11.25" style="29" customWidth="1"/>
    <col min="22" max="22" width="8.75" style="29" customWidth="1"/>
    <col min="23" max="24" width="11.25" style="29" customWidth="1"/>
    <col min="25" max="25" width="8.75" style="29" customWidth="1"/>
    <col min="26" max="26" width="12.375" style="29" customWidth="1"/>
    <col min="27" max="27" width="11.25" style="29" customWidth="1"/>
    <col min="28" max="28" width="8.75" style="29" customWidth="1"/>
    <col min="29" max="29" width="8.25" style="29" customWidth="1"/>
    <col min="30" max="30" width="11.25" style="29" customWidth="1"/>
    <col min="31" max="31" width="8.75" style="29" customWidth="1"/>
    <col min="32" max="32" width="11.25" style="29" customWidth="1"/>
    <col min="33" max="36" width="9" style="29"/>
    <col min="37" max="16384" width="9" style="28"/>
  </cols>
  <sheetData>
    <row r="1" s="28" customFormat="1" ht="22" customHeight="1" spans="1:3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1" t="s">
        <v>29</v>
      </c>
      <c r="AE1" s="31" t="s">
        <v>30</v>
      </c>
      <c r="AF1" s="31" t="s">
        <v>31</v>
      </c>
      <c r="AG1" s="29"/>
      <c r="AH1" s="29"/>
      <c r="AI1" s="29"/>
      <c r="AJ1" s="29"/>
    </row>
    <row r="2" s="28" customFormat="1" ht="16.5" spans="1:36">
      <c r="A2" s="10" t="s">
        <v>32</v>
      </c>
      <c r="B2" s="11">
        <v>525000</v>
      </c>
      <c r="C2" s="12" t="s">
        <v>33</v>
      </c>
      <c r="D2" s="11"/>
      <c r="E2" s="11"/>
      <c r="F2" s="13"/>
      <c r="G2" s="32">
        <v>455000</v>
      </c>
      <c r="H2" s="32">
        <v>0</v>
      </c>
      <c r="I2" s="13"/>
      <c r="J2" s="32">
        <v>465000</v>
      </c>
      <c r="K2" s="32">
        <v>0</v>
      </c>
      <c r="L2" s="13"/>
      <c r="M2" s="32">
        <v>485000</v>
      </c>
      <c r="N2" s="32">
        <v>0</v>
      </c>
      <c r="O2" s="13"/>
      <c r="P2" s="32">
        <v>495000</v>
      </c>
      <c r="Q2" s="32">
        <v>0</v>
      </c>
      <c r="R2" s="13"/>
      <c r="S2" s="32">
        <v>515000</v>
      </c>
      <c r="T2" s="32">
        <v>0</v>
      </c>
      <c r="U2" s="13"/>
      <c r="V2" s="32">
        <v>525000</v>
      </c>
      <c r="W2" s="32">
        <v>97977402.5</v>
      </c>
      <c r="X2" s="13"/>
      <c r="Y2" s="32"/>
      <c r="Z2" s="32"/>
      <c r="AA2" s="13"/>
      <c r="AB2" s="32"/>
      <c r="AC2" s="32"/>
      <c r="AD2" s="33"/>
      <c r="AE2" s="34"/>
      <c r="AF2" s="34"/>
      <c r="AG2" s="29"/>
      <c r="AH2" s="29"/>
      <c r="AI2" s="29"/>
      <c r="AJ2" s="29"/>
    </row>
    <row r="3" s="28" customFormat="1" ht="16.5" spans="1:36">
      <c r="A3" s="10" t="s">
        <v>34</v>
      </c>
      <c r="B3" s="11">
        <v>500000</v>
      </c>
      <c r="C3" s="12" t="s">
        <v>33</v>
      </c>
      <c r="D3" s="11">
        <v>370000</v>
      </c>
      <c r="E3" s="11"/>
      <c r="F3" s="13"/>
      <c r="G3" s="32">
        <v>430000</v>
      </c>
      <c r="H3" s="32">
        <v>0</v>
      </c>
      <c r="I3" s="13"/>
      <c r="J3" s="32">
        <v>460000</v>
      </c>
      <c r="K3" s="32">
        <v>0</v>
      </c>
      <c r="L3" s="13"/>
      <c r="M3" s="32">
        <v>490000</v>
      </c>
      <c r="N3" s="35">
        <v>-56109543.75</v>
      </c>
      <c r="O3" s="13"/>
      <c r="P3" s="32"/>
      <c r="Q3" s="32"/>
      <c r="R3" s="13"/>
      <c r="S3" s="32"/>
      <c r="T3" s="32"/>
      <c r="U3" s="13"/>
      <c r="V3" s="32"/>
      <c r="W3" s="32"/>
      <c r="X3" s="13"/>
      <c r="Y3" s="32"/>
      <c r="Z3" s="32"/>
      <c r="AA3" s="13"/>
      <c r="AB3" s="32"/>
      <c r="AC3" s="32"/>
      <c r="AD3" s="33"/>
      <c r="AE3" s="34"/>
      <c r="AF3" s="34"/>
      <c r="AG3" s="29"/>
      <c r="AH3" s="29"/>
      <c r="AI3" s="29"/>
      <c r="AJ3" s="29"/>
    </row>
    <row r="4" s="28" customFormat="1" ht="16.5" spans="1:36">
      <c r="A4" s="10" t="s">
        <v>35</v>
      </c>
      <c r="B4" s="11">
        <v>530000</v>
      </c>
      <c r="C4" s="12" t="s">
        <v>33</v>
      </c>
      <c r="D4" s="11"/>
      <c r="E4" s="11"/>
      <c r="F4" s="13"/>
      <c r="G4" s="32">
        <v>450000</v>
      </c>
      <c r="H4" s="32">
        <v>51577120</v>
      </c>
      <c r="I4" s="13"/>
      <c r="J4" s="32"/>
      <c r="K4" s="32"/>
      <c r="L4" s="13"/>
      <c r="M4" s="32"/>
      <c r="N4" s="32"/>
      <c r="O4" s="13"/>
      <c r="P4" s="32"/>
      <c r="Q4" s="32"/>
      <c r="R4" s="13"/>
      <c r="S4" s="32"/>
      <c r="T4" s="32"/>
      <c r="U4" s="13"/>
      <c r="V4" s="32"/>
      <c r="W4" s="32"/>
      <c r="X4" s="13"/>
      <c r="Y4" s="32"/>
      <c r="Z4" s="32"/>
      <c r="AA4" s="13"/>
      <c r="AB4" s="32"/>
      <c r="AC4" s="32"/>
      <c r="AD4" s="33"/>
      <c r="AE4" s="34"/>
      <c r="AF4" s="34"/>
      <c r="AG4" s="29"/>
      <c r="AH4" s="29"/>
      <c r="AI4" s="29"/>
      <c r="AJ4" s="29"/>
    </row>
    <row r="5" s="28" customFormat="1" ht="16.5" spans="1:36">
      <c r="A5" s="10" t="s">
        <v>36</v>
      </c>
      <c r="B5" s="11">
        <v>510000</v>
      </c>
      <c r="C5" s="12" t="s">
        <v>33</v>
      </c>
      <c r="D5" s="11">
        <v>380000</v>
      </c>
      <c r="E5" s="11">
        <v>170000</v>
      </c>
      <c r="F5" s="13"/>
      <c r="G5" s="32">
        <v>440000</v>
      </c>
      <c r="H5" s="32">
        <v>0</v>
      </c>
      <c r="I5" s="13"/>
      <c r="J5" s="32">
        <v>450000</v>
      </c>
      <c r="K5" s="32">
        <v>0</v>
      </c>
      <c r="L5" s="13"/>
      <c r="M5" s="32">
        <v>470000</v>
      </c>
      <c r="N5" s="32">
        <v>0</v>
      </c>
      <c r="O5" s="13"/>
      <c r="P5" s="32">
        <v>500000</v>
      </c>
      <c r="Q5" s="32">
        <v>0</v>
      </c>
      <c r="R5" s="13"/>
      <c r="S5" s="32">
        <v>510000</v>
      </c>
      <c r="T5" s="32">
        <v>0</v>
      </c>
      <c r="U5" s="13"/>
      <c r="V5" s="32">
        <v>520000</v>
      </c>
      <c r="W5" s="32">
        <v>0</v>
      </c>
      <c r="X5" s="13"/>
      <c r="Y5" s="32">
        <v>510000</v>
      </c>
      <c r="Z5" s="35">
        <v>-67351144.46</v>
      </c>
      <c r="AA5" s="13"/>
      <c r="AB5" s="32"/>
      <c r="AC5" s="32"/>
      <c r="AD5" s="33"/>
      <c r="AE5" s="34"/>
      <c r="AF5" s="34"/>
      <c r="AG5" s="29"/>
      <c r="AH5" s="29"/>
      <c r="AI5" s="29"/>
      <c r="AJ5" s="29"/>
    </row>
    <row r="6" s="28" customFormat="1" ht="16.5" spans="1:36">
      <c r="A6" s="10" t="s">
        <v>37</v>
      </c>
      <c r="B6" s="11">
        <v>520000</v>
      </c>
      <c r="C6" s="12" t="s">
        <v>33</v>
      </c>
      <c r="D6" s="11"/>
      <c r="E6" s="11"/>
      <c r="F6" s="13"/>
      <c r="G6" s="32">
        <v>460000</v>
      </c>
      <c r="H6" s="32">
        <v>0</v>
      </c>
      <c r="I6" s="13"/>
      <c r="J6" s="32">
        <v>520000</v>
      </c>
      <c r="K6" s="32">
        <v>286648856.2</v>
      </c>
      <c r="L6" s="13"/>
      <c r="M6" s="32"/>
      <c r="N6" s="32"/>
      <c r="O6" s="13"/>
      <c r="P6" s="32"/>
      <c r="Q6" s="32"/>
      <c r="R6" s="13"/>
      <c r="S6" s="32"/>
      <c r="T6" s="32"/>
      <c r="U6" s="13"/>
      <c r="V6" s="32"/>
      <c r="W6" s="32"/>
      <c r="X6" s="13"/>
      <c r="Y6" s="32"/>
      <c r="Z6" s="32"/>
      <c r="AA6" s="13"/>
      <c r="AB6" s="32"/>
      <c r="AC6" s="32"/>
      <c r="AD6" s="33"/>
      <c r="AE6" s="34"/>
      <c r="AF6" s="34"/>
      <c r="AG6" s="29"/>
      <c r="AH6" s="29"/>
      <c r="AI6" s="29"/>
      <c r="AJ6" s="29"/>
    </row>
    <row r="7" s="28" customFormat="1" ht="16.5" spans="1:36">
      <c r="A7" s="10" t="s">
        <v>38</v>
      </c>
      <c r="B7" s="11">
        <v>520000</v>
      </c>
      <c r="C7" s="12" t="s">
        <v>33</v>
      </c>
      <c r="D7" s="11"/>
      <c r="E7" s="11"/>
      <c r="F7" s="13"/>
      <c r="G7" s="32">
        <v>450000</v>
      </c>
      <c r="H7" s="32">
        <v>0</v>
      </c>
      <c r="I7" s="13"/>
      <c r="J7" s="32">
        <v>460000</v>
      </c>
      <c r="K7" s="32">
        <v>0</v>
      </c>
      <c r="L7" s="13"/>
      <c r="M7" s="32">
        <v>480000</v>
      </c>
      <c r="N7" s="32">
        <v>0</v>
      </c>
      <c r="O7" s="13"/>
      <c r="P7" s="32">
        <v>520000</v>
      </c>
      <c r="Q7" s="32">
        <v>0</v>
      </c>
      <c r="R7" s="13"/>
      <c r="S7" s="32">
        <v>520000</v>
      </c>
      <c r="T7" s="32">
        <v>2697416</v>
      </c>
      <c r="U7" s="13"/>
      <c r="V7" s="32"/>
      <c r="W7" s="32"/>
      <c r="X7" s="13"/>
      <c r="Y7" s="32"/>
      <c r="Z7" s="32"/>
      <c r="AA7" s="13"/>
      <c r="AB7" s="32"/>
      <c r="AC7" s="32"/>
      <c r="AD7" s="33"/>
      <c r="AE7" s="34"/>
      <c r="AF7" s="34"/>
      <c r="AG7" s="29"/>
      <c r="AH7" s="29"/>
      <c r="AI7" s="29"/>
      <c r="AJ7" s="29"/>
    </row>
    <row r="8" s="28" customFormat="1" ht="16.5" spans="1:36">
      <c r="A8" s="10" t="s">
        <v>39</v>
      </c>
      <c r="B8" s="11">
        <v>500000</v>
      </c>
      <c r="C8" s="12" t="s">
        <v>33</v>
      </c>
      <c r="D8" s="11"/>
      <c r="E8" s="11">
        <v>200000</v>
      </c>
      <c r="F8" s="13"/>
      <c r="G8" s="32">
        <v>430000</v>
      </c>
      <c r="H8" s="32">
        <v>0</v>
      </c>
      <c r="I8" s="13"/>
      <c r="J8" s="32">
        <v>440000</v>
      </c>
      <c r="K8" s="32">
        <v>0</v>
      </c>
      <c r="L8" s="13"/>
      <c r="M8" s="32">
        <v>460000</v>
      </c>
      <c r="N8" s="32">
        <v>183053430.62</v>
      </c>
      <c r="O8" s="13"/>
      <c r="P8" s="32"/>
      <c r="Q8" s="32"/>
      <c r="R8" s="13"/>
      <c r="S8" s="32"/>
      <c r="T8" s="32"/>
      <c r="U8" s="13"/>
      <c r="V8" s="32"/>
      <c r="W8" s="32"/>
      <c r="X8" s="13"/>
      <c r="Y8" s="32"/>
      <c r="Z8" s="32"/>
      <c r="AA8" s="13"/>
      <c r="AB8" s="32"/>
      <c r="AC8" s="32"/>
      <c r="AD8" s="33"/>
      <c r="AE8" s="34"/>
      <c r="AF8" s="34"/>
      <c r="AG8" s="29"/>
      <c r="AH8" s="29"/>
      <c r="AI8" s="29"/>
      <c r="AJ8" s="29"/>
    </row>
    <row r="9" s="28" customFormat="1" ht="16.5" spans="1:36">
      <c r="A9" s="10" t="s">
        <v>40</v>
      </c>
      <c r="B9" s="11">
        <v>520000</v>
      </c>
      <c r="C9" s="12" t="s">
        <v>33</v>
      </c>
      <c r="D9" s="11"/>
      <c r="E9" s="11"/>
      <c r="F9" s="13"/>
      <c r="G9" s="32">
        <v>450000</v>
      </c>
      <c r="H9" s="32">
        <v>0</v>
      </c>
      <c r="I9" s="13"/>
      <c r="J9" s="32">
        <v>480000</v>
      </c>
      <c r="K9" s="32">
        <v>0</v>
      </c>
      <c r="L9" s="13"/>
      <c r="M9" s="32">
        <v>500000</v>
      </c>
      <c r="N9" s="32">
        <v>0</v>
      </c>
      <c r="O9" s="13"/>
      <c r="P9" s="32">
        <v>510000</v>
      </c>
      <c r="Q9" s="32">
        <v>62596960</v>
      </c>
      <c r="R9" s="13"/>
      <c r="S9" s="32"/>
      <c r="T9" s="32"/>
      <c r="U9" s="13"/>
      <c r="V9" s="32"/>
      <c r="W9" s="32"/>
      <c r="X9" s="13"/>
      <c r="Y9" s="32"/>
      <c r="Z9" s="32"/>
      <c r="AA9" s="13"/>
      <c r="AB9" s="32"/>
      <c r="AC9" s="32"/>
      <c r="AD9" s="33"/>
      <c r="AE9" s="34"/>
      <c r="AF9" s="34"/>
      <c r="AG9" s="29"/>
      <c r="AH9" s="29"/>
      <c r="AI9" s="29"/>
      <c r="AJ9" s="29"/>
    </row>
    <row r="10" s="28" customFormat="1" ht="16.5" spans="1:36">
      <c r="A10" s="10" t="s">
        <v>41</v>
      </c>
      <c r="B10" s="11">
        <v>500000</v>
      </c>
      <c r="C10" s="12" t="s">
        <v>33</v>
      </c>
      <c r="D10" s="11"/>
      <c r="E10" s="11"/>
      <c r="F10" s="13"/>
      <c r="G10" s="32">
        <v>430000</v>
      </c>
      <c r="H10" s="32">
        <v>0</v>
      </c>
      <c r="I10" s="13"/>
      <c r="J10" s="32">
        <v>460000</v>
      </c>
      <c r="K10" s="32">
        <v>459388540</v>
      </c>
      <c r="L10" s="13"/>
      <c r="M10" s="32">
        <v>490000</v>
      </c>
      <c r="N10" s="32">
        <v>300000000</v>
      </c>
      <c r="O10" s="13"/>
      <c r="P10" s="32"/>
      <c r="Q10" s="32"/>
      <c r="R10" s="13"/>
      <c r="S10" s="32"/>
      <c r="T10" s="32"/>
      <c r="U10" s="13"/>
      <c r="V10" s="32"/>
      <c r="W10" s="32"/>
      <c r="X10" s="13"/>
      <c r="Y10" s="32"/>
      <c r="Z10" s="32"/>
      <c r="AA10" s="13"/>
      <c r="AB10" s="32"/>
      <c r="AC10" s="32"/>
      <c r="AD10" s="33"/>
      <c r="AE10" s="34"/>
      <c r="AF10" s="34"/>
      <c r="AG10" s="29"/>
      <c r="AH10" s="29"/>
      <c r="AI10" s="29"/>
      <c r="AJ10" s="29"/>
    </row>
    <row r="11" s="28" customFormat="1" ht="16.5" spans="1:36">
      <c r="A11" s="10" t="s">
        <v>42</v>
      </c>
      <c r="B11" s="11">
        <v>500000</v>
      </c>
      <c r="C11" s="12" t="s">
        <v>33</v>
      </c>
      <c r="D11" s="11"/>
      <c r="E11" s="11"/>
      <c r="F11" s="13"/>
      <c r="G11" s="32">
        <v>410000</v>
      </c>
      <c r="H11" s="32">
        <v>0</v>
      </c>
      <c r="I11" s="13"/>
      <c r="J11" s="32">
        <v>425000</v>
      </c>
      <c r="K11" s="32">
        <v>0</v>
      </c>
      <c r="L11" s="13"/>
      <c r="M11" s="32">
        <v>430000</v>
      </c>
      <c r="N11" s="32">
        <v>0</v>
      </c>
      <c r="O11" s="13"/>
      <c r="P11" s="32">
        <v>500000</v>
      </c>
      <c r="Q11" s="32">
        <v>252638208</v>
      </c>
      <c r="R11" s="13"/>
      <c r="S11" s="32">
        <v>500000</v>
      </c>
      <c r="T11" s="32">
        <v>300000000</v>
      </c>
      <c r="U11" s="13"/>
      <c r="V11" s="32"/>
      <c r="W11" s="32"/>
      <c r="X11" s="13"/>
      <c r="Y11" s="32"/>
      <c r="Z11" s="32"/>
      <c r="AA11" s="13"/>
      <c r="AB11" s="32"/>
      <c r="AC11" s="32"/>
      <c r="AD11" s="33"/>
      <c r="AE11" s="34"/>
      <c r="AF11" s="34"/>
      <c r="AG11" s="29"/>
      <c r="AH11" s="29"/>
      <c r="AI11" s="29"/>
      <c r="AJ11" s="29"/>
    </row>
    <row r="12" s="28" customFormat="1" ht="16.5" spans="1:36">
      <c r="A12" s="10" t="s">
        <v>43</v>
      </c>
      <c r="B12" s="11">
        <v>510000</v>
      </c>
      <c r="C12" s="12" t="s">
        <v>33</v>
      </c>
      <c r="D12" s="11"/>
      <c r="E12" s="11"/>
      <c r="F12" s="13"/>
      <c r="G12" s="32">
        <v>440000</v>
      </c>
      <c r="H12" s="32">
        <v>0</v>
      </c>
      <c r="I12" s="13"/>
      <c r="J12" s="32">
        <v>450000</v>
      </c>
      <c r="K12" s="32">
        <v>0</v>
      </c>
      <c r="L12" s="13"/>
      <c r="M12" s="32">
        <v>470000</v>
      </c>
      <c r="N12" s="32">
        <v>0</v>
      </c>
      <c r="O12" s="13"/>
      <c r="P12" s="32">
        <v>500000</v>
      </c>
      <c r="Q12" s="32">
        <v>0</v>
      </c>
      <c r="R12" s="13"/>
      <c r="S12" s="32">
        <v>520000</v>
      </c>
      <c r="T12" s="32">
        <v>0</v>
      </c>
      <c r="U12" s="13"/>
      <c r="V12" s="32">
        <v>510000</v>
      </c>
      <c r="W12" s="32">
        <v>92797870</v>
      </c>
      <c r="X12" s="13"/>
      <c r="Y12" s="32"/>
      <c r="Z12" s="32"/>
      <c r="AA12" s="13"/>
      <c r="AB12" s="32"/>
      <c r="AC12" s="32"/>
      <c r="AD12" s="33"/>
      <c r="AE12" s="34"/>
      <c r="AF12" s="34"/>
      <c r="AG12" s="29"/>
      <c r="AH12" s="29"/>
      <c r="AI12" s="29"/>
      <c r="AJ12" s="29"/>
    </row>
    <row r="13" s="28" customFormat="1" ht="16.5" spans="1:36">
      <c r="A13" s="10" t="s">
        <v>44</v>
      </c>
      <c r="B13" s="11">
        <v>530000</v>
      </c>
      <c r="C13" s="12" t="s">
        <v>33</v>
      </c>
      <c r="D13" s="11">
        <v>400000</v>
      </c>
      <c r="E13" s="11">
        <v>220000</v>
      </c>
      <c r="F13" s="13"/>
      <c r="G13" s="32">
        <v>460000</v>
      </c>
      <c r="H13" s="32">
        <v>0</v>
      </c>
      <c r="I13" s="13"/>
      <c r="J13" s="32">
        <v>470000</v>
      </c>
      <c r="K13" s="32">
        <v>0</v>
      </c>
      <c r="L13" s="13"/>
      <c r="M13" s="32">
        <v>480000</v>
      </c>
      <c r="N13" s="32">
        <v>0</v>
      </c>
      <c r="O13" s="13"/>
      <c r="P13" s="32">
        <v>490000</v>
      </c>
      <c r="Q13" s="32">
        <v>0</v>
      </c>
      <c r="R13" s="13"/>
      <c r="S13" s="32">
        <v>500000</v>
      </c>
      <c r="T13" s="32">
        <v>0</v>
      </c>
      <c r="U13" s="13"/>
      <c r="V13" s="32">
        <v>510000</v>
      </c>
      <c r="W13" s="32">
        <v>0</v>
      </c>
      <c r="X13" s="13"/>
      <c r="Y13" s="32">
        <v>520000</v>
      </c>
      <c r="Z13" s="32">
        <v>0</v>
      </c>
      <c r="AA13" s="13"/>
      <c r="AB13" s="32">
        <v>530000</v>
      </c>
      <c r="AC13" s="32">
        <v>0</v>
      </c>
      <c r="AD13" s="33"/>
      <c r="AE13" s="34">
        <v>530000</v>
      </c>
      <c r="AF13" s="34">
        <v>22351800</v>
      </c>
      <c r="AG13" s="29"/>
      <c r="AH13" s="29"/>
      <c r="AI13" s="29"/>
      <c r="AJ13" s="29"/>
    </row>
    <row r="14" s="28" customFormat="1" ht="16.5" spans="1:36">
      <c r="A14" s="10" t="s">
        <v>45</v>
      </c>
      <c r="B14" s="11">
        <v>520000</v>
      </c>
      <c r="C14" s="12" t="s">
        <v>33</v>
      </c>
      <c r="D14" s="11"/>
      <c r="E14" s="11"/>
      <c r="F14" s="13"/>
      <c r="G14" s="32">
        <v>480000</v>
      </c>
      <c r="H14" s="32">
        <v>0</v>
      </c>
      <c r="I14" s="13"/>
      <c r="J14" s="32">
        <v>490000</v>
      </c>
      <c r="K14" s="32">
        <v>0</v>
      </c>
      <c r="L14" s="13"/>
      <c r="M14" s="32">
        <v>510000</v>
      </c>
      <c r="N14" s="32">
        <v>0</v>
      </c>
      <c r="O14" s="13"/>
      <c r="P14" s="32">
        <v>520000</v>
      </c>
      <c r="Q14" s="32">
        <v>1355100</v>
      </c>
      <c r="R14" s="13"/>
      <c r="S14" s="32"/>
      <c r="T14" s="32"/>
      <c r="U14" s="13"/>
      <c r="V14" s="32"/>
      <c r="W14" s="32"/>
      <c r="X14" s="13"/>
      <c r="Y14" s="32"/>
      <c r="Z14" s="32"/>
      <c r="AA14" s="13"/>
      <c r="AB14" s="32"/>
      <c r="AC14" s="32"/>
      <c r="AD14" s="33"/>
      <c r="AE14" s="34"/>
      <c r="AF14" s="34"/>
      <c r="AG14" s="29"/>
      <c r="AH14" s="29"/>
      <c r="AI14" s="29"/>
      <c r="AJ14" s="29"/>
    </row>
    <row r="15" s="28" customFormat="1" ht="16.5" spans="1:36">
      <c r="A15" s="10" t="s">
        <v>46</v>
      </c>
      <c r="B15" s="11">
        <v>520000</v>
      </c>
      <c r="C15" s="12" t="s">
        <v>33</v>
      </c>
      <c r="D15" s="11">
        <v>380000</v>
      </c>
      <c r="E15" s="11">
        <v>190000</v>
      </c>
      <c r="F15" s="13"/>
      <c r="G15" s="32">
        <v>480000</v>
      </c>
      <c r="H15" s="32">
        <v>0</v>
      </c>
      <c r="I15" s="13"/>
      <c r="J15" s="32">
        <v>490000</v>
      </c>
      <c r="K15" s="32">
        <v>0</v>
      </c>
      <c r="L15" s="13"/>
      <c r="M15" s="32">
        <v>510000</v>
      </c>
      <c r="N15" s="32">
        <v>22032000</v>
      </c>
      <c r="O15" s="13"/>
      <c r="P15" s="32"/>
      <c r="Q15" s="32"/>
      <c r="R15" s="13"/>
      <c r="S15" s="32"/>
      <c r="T15" s="32"/>
      <c r="U15" s="13"/>
      <c r="V15" s="32"/>
      <c r="W15" s="32"/>
      <c r="X15" s="13"/>
      <c r="Y15" s="32"/>
      <c r="Z15" s="32"/>
      <c r="AA15" s="13"/>
      <c r="AB15" s="32"/>
      <c r="AC15" s="32"/>
      <c r="AD15" s="33"/>
      <c r="AE15" s="34"/>
      <c r="AF15" s="34"/>
      <c r="AG15" s="29"/>
      <c r="AH15" s="29"/>
      <c r="AI15" s="29"/>
      <c r="AJ15" s="29"/>
    </row>
    <row r="16" s="28" customFormat="1" ht="16.5" spans="1:36">
      <c r="A16" s="10" t="s">
        <v>47</v>
      </c>
      <c r="B16" s="11">
        <v>540000</v>
      </c>
      <c r="C16" s="12" t="s">
        <v>33</v>
      </c>
      <c r="D16" s="11"/>
      <c r="E16" s="11"/>
      <c r="F16" s="13"/>
      <c r="G16" s="32">
        <v>530000</v>
      </c>
      <c r="H16" s="32">
        <v>16920</v>
      </c>
      <c r="I16" s="13"/>
      <c r="J16" s="32"/>
      <c r="K16" s="32"/>
      <c r="L16" s="13"/>
      <c r="M16" s="32"/>
      <c r="N16" s="32"/>
      <c r="O16" s="13"/>
      <c r="P16" s="32"/>
      <c r="Q16" s="32"/>
      <c r="R16" s="13"/>
      <c r="S16" s="32"/>
      <c r="T16" s="32"/>
      <c r="U16" s="13"/>
      <c r="V16" s="32"/>
      <c r="W16" s="32"/>
      <c r="X16" s="13"/>
      <c r="Y16" s="32"/>
      <c r="Z16" s="32"/>
      <c r="AA16" s="13"/>
      <c r="AB16" s="32"/>
      <c r="AC16" s="32"/>
      <c r="AD16" s="33"/>
      <c r="AE16" s="34"/>
      <c r="AF16" s="34"/>
      <c r="AG16" s="29"/>
      <c r="AH16" s="29"/>
      <c r="AI16" s="29"/>
      <c r="AJ16" s="29"/>
    </row>
    <row r="17" s="28" customFormat="1" ht="16.5" spans="1:36">
      <c r="A17" s="10" t="s">
        <v>48</v>
      </c>
      <c r="B17" s="11">
        <v>510000</v>
      </c>
      <c r="C17" s="12" t="s">
        <v>33</v>
      </c>
      <c r="D17" s="11"/>
      <c r="E17" s="11"/>
      <c r="F17" s="13"/>
      <c r="G17" s="32">
        <v>440000</v>
      </c>
      <c r="H17" s="32">
        <v>0</v>
      </c>
      <c r="I17" s="13"/>
      <c r="J17" s="32">
        <v>450000</v>
      </c>
      <c r="K17" s="32">
        <v>0</v>
      </c>
      <c r="L17" s="13"/>
      <c r="M17" s="32">
        <v>470000</v>
      </c>
      <c r="N17" s="32">
        <v>0</v>
      </c>
      <c r="O17" s="13"/>
      <c r="P17" s="32">
        <v>500000</v>
      </c>
      <c r="Q17" s="32">
        <v>0</v>
      </c>
      <c r="R17" s="13"/>
      <c r="S17" s="32">
        <v>520000</v>
      </c>
      <c r="T17" s="35">
        <v>-22419155.75</v>
      </c>
      <c r="U17" s="13"/>
      <c r="V17" s="32"/>
      <c r="W17" s="32"/>
      <c r="X17" s="13"/>
      <c r="Y17" s="32"/>
      <c r="Z17" s="32"/>
      <c r="AA17" s="13"/>
      <c r="AB17" s="32"/>
      <c r="AC17" s="32"/>
      <c r="AD17" s="33"/>
      <c r="AE17" s="34"/>
      <c r="AF17" s="34"/>
      <c r="AG17" s="29"/>
      <c r="AH17" s="29"/>
      <c r="AI17" s="29"/>
      <c r="AJ17" s="29"/>
    </row>
    <row r="18" s="28" customFormat="1" ht="16.5" spans="1:36">
      <c r="A18" s="10" t="s">
        <v>49</v>
      </c>
      <c r="B18" s="11">
        <v>525000</v>
      </c>
      <c r="C18" s="12" t="s">
        <v>33</v>
      </c>
      <c r="D18" s="11"/>
      <c r="E18" s="11"/>
      <c r="F18" s="13"/>
      <c r="G18" s="32">
        <v>465000</v>
      </c>
      <c r="H18" s="32">
        <v>0</v>
      </c>
      <c r="I18" s="13"/>
      <c r="J18" s="32">
        <v>495000</v>
      </c>
      <c r="K18" s="32">
        <v>846480</v>
      </c>
      <c r="L18" s="13"/>
      <c r="M18" s="32"/>
      <c r="N18" s="32"/>
      <c r="O18" s="13"/>
      <c r="P18" s="32"/>
      <c r="Q18" s="32"/>
      <c r="R18" s="13"/>
      <c r="S18" s="32"/>
      <c r="T18" s="32"/>
      <c r="U18" s="13"/>
      <c r="V18" s="32"/>
      <c r="W18" s="32"/>
      <c r="X18" s="13"/>
      <c r="Y18" s="32"/>
      <c r="Z18" s="32"/>
      <c r="AA18" s="13"/>
      <c r="AB18" s="32"/>
      <c r="AC18" s="32"/>
      <c r="AD18" s="33"/>
      <c r="AE18" s="34"/>
      <c r="AF18" s="34"/>
      <c r="AG18" s="29"/>
      <c r="AH18" s="29"/>
      <c r="AI18" s="29"/>
      <c r="AJ18" s="29"/>
    </row>
    <row r="19" s="28" customFormat="1" ht="16.5" spans="1:36">
      <c r="A19" s="10" t="s">
        <v>50</v>
      </c>
      <c r="B19" s="11">
        <v>500000</v>
      </c>
      <c r="C19" s="12" t="s">
        <v>33</v>
      </c>
      <c r="D19" s="11"/>
      <c r="E19" s="11"/>
      <c r="F19" s="13"/>
      <c r="G19" s="32">
        <v>430000</v>
      </c>
      <c r="H19" s="32">
        <v>0</v>
      </c>
      <c r="I19" s="13"/>
      <c r="J19" s="32">
        <v>470000</v>
      </c>
      <c r="K19" s="32">
        <v>0</v>
      </c>
      <c r="L19" s="13"/>
      <c r="M19" s="32">
        <v>490000</v>
      </c>
      <c r="N19" s="32">
        <v>0</v>
      </c>
      <c r="O19" s="13"/>
      <c r="P19" s="32">
        <v>500000</v>
      </c>
      <c r="Q19" s="32">
        <v>489849305</v>
      </c>
      <c r="R19" s="13"/>
      <c r="S19" s="32"/>
      <c r="T19" s="32"/>
      <c r="U19" s="13"/>
      <c r="V19" s="32"/>
      <c r="W19" s="32"/>
      <c r="X19" s="13"/>
      <c r="Y19" s="32"/>
      <c r="Z19" s="32"/>
      <c r="AA19" s="13"/>
      <c r="AB19" s="32"/>
      <c r="AC19" s="32"/>
      <c r="AD19" s="33"/>
      <c r="AE19" s="34"/>
      <c r="AF19" s="34"/>
      <c r="AG19" s="29"/>
      <c r="AH19" s="29"/>
      <c r="AI19" s="29"/>
      <c r="AJ19" s="29"/>
    </row>
    <row r="20" s="28" customFormat="1" ht="16.5" spans="1:36">
      <c r="A20" s="10" t="s">
        <v>51</v>
      </c>
      <c r="B20" s="11">
        <v>515000</v>
      </c>
      <c r="C20" s="12" t="s">
        <v>33</v>
      </c>
      <c r="D20" s="11"/>
      <c r="E20" s="11"/>
      <c r="F20" s="13"/>
      <c r="G20" s="32">
        <v>445000</v>
      </c>
      <c r="H20" s="32">
        <v>0</v>
      </c>
      <c r="I20" s="13"/>
      <c r="J20" s="32">
        <v>475000</v>
      </c>
      <c r="K20" s="32">
        <v>434057045</v>
      </c>
      <c r="L20" s="13"/>
      <c r="M20" s="32"/>
      <c r="N20" s="32"/>
      <c r="O20" s="13"/>
      <c r="P20" s="32"/>
      <c r="Q20" s="32"/>
      <c r="R20" s="13"/>
      <c r="S20" s="32"/>
      <c r="T20" s="32"/>
      <c r="U20" s="13"/>
      <c r="V20" s="32"/>
      <c r="W20" s="32"/>
      <c r="X20" s="13"/>
      <c r="Y20" s="32"/>
      <c r="Z20" s="32"/>
      <c r="AA20" s="13"/>
      <c r="AB20" s="32"/>
      <c r="AC20" s="32"/>
      <c r="AD20" s="33"/>
      <c r="AE20" s="34"/>
      <c r="AF20" s="34"/>
      <c r="AG20" s="29"/>
      <c r="AH20" s="29"/>
      <c r="AI20" s="29"/>
      <c r="AJ20" s="29"/>
    </row>
    <row r="21" s="28" customFormat="1" ht="16.5" spans="1:36">
      <c r="A21" s="10" t="s">
        <v>52</v>
      </c>
      <c r="B21" s="11">
        <v>525000</v>
      </c>
      <c r="C21" s="12" t="s">
        <v>33</v>
      </c>
      <c r="D21" s="11"/>
      <c r="E21" s="11"/>
      <c r="F21" s="13"/>
      <c r="G21" s="32">
        <v>455000</v>
      </c>
      <c r="H21" s="32">
        <v>0</v>
      </c>
      <c r="I21" s="13"/>
      <c r="J21" s="32">
        <v>515000</v>
      </c>
      <c r="K21" s="32">
        <v>220703770</v>
      </c>
      <c r="L21" s="13"/>
      <c r="M21" s="32"/>
      <c r="N21" s="32"/>
      <c r="O21" s="13"/>
      <c r="P21" s="32"/>
      <c r="Q21" s="32"/>
      <c r="R21" s="13"/>
      <c r="S21" s="32"/>
      <c r="T21" s="32"/>
      <c r="U21" s="13"/>
      <c r="V21" s="32"/>
      <c r="W21" s="32"/>
      <c r="X21" s="13"/>
      <c r="Y21" s="32"/>
      <c r="Z21" s="32"/>
      <c r="AA21" s="13"/>
      <c r="AB21" s="32"/>
      <c r="AC21" s="32"/>
      <c r="AD21" s="33"/>
      <c r="AE21" s="34"/>
      <c r="AF21" s="34"/>
      <c r="AG21" s="29"/>
      <c r="AH21" s="29"/>
      <c r="AI21" s="29"/>
      <c r="AJ21" s="29"/>
    </row>
    <row r="22" s="28" customFormat="1" ht="16.5" spans="1:36">
      <c r="A22" s="10" t="s">
        <v>53</v>
      </c>
      <c r="B22" s="11">
        <v>520000</v>
      </c>
      <c r="C22" s="12" t="s">
        <v>33</v>
      </c>
      <c r="D22" s="11"/>
      <c r="E22" s="11"/>
      <c r="F22" s="13"/>
      <c r="G22" s="32">
        <v>450000</v>
      </c>
      <c r="H22" s="32">
        <v>0</v>
      </c>
      <c r="I22" s="13"/>
      <c r="J22" s="32">
        <v>460000</v>
      </c>
      <c r="K22" s="32">
        <v>1340045.5</v>
      </c>
      <c r="L22" s="13"/>
      <c r="M22" s="32"/>
      <c r="N22" s="32"/>
      <c r="O22" s="13"/>
      <c r="P22" s="32"/>
      <c r="Q22" s="32"/>
      <c r="R22" s="13"/>
      <c r="S22" s="32"/>
      <c r="T22" s="32"/>
      <c r="U22" s="13"/>
      <c r="V22" s="32"/>
      <c r="W22" s="32"/>
      <c r="X22" s="13"/>
      <c r="Y22" s="32"/>
      <c r="Z22" s="32"/>
      <c r="AA22" s="13"/>
      <c r="AB22" s="32"/>
      <c r="AC22" s="32"/>
      <c r="AD22" s="33"/>
      <c r="AE22" s="34"/>
      <c r="AF22" s="34"/>
      <c r="AG22" s="29"/>
      <c r="AH22" s="29"/>
      <c r="AI22" s="29"/>
      <c r="AJ22" s="29"/>
    </row>
    <row r="23" s="28" customFormat="1" ht="16.5" spans="1:36">
      <c r="A23" s="10" t="s">
        <v>54</v>
      </c>
      <c r="B23" s="11">
        <v>515000</v>
      </c>
      <c r="C23" s="12" t="s">
        <v>33</v>
      </c>
      <c r="D23" s="11"/>
      <c r="E23" s="11"/>
      <c r="F23" s="13"/>
      <c r="G23" s="32">
        <v>445000</v>
      </c>
      <c r="H23" s="32">
        <v>62173237.5</v>
      </c>
      <c r="I23" s="13"/>
      <c r="J23" s="32"/>
      <c r="K23" s="32"/>
      <c r="L23" s="13"/>
      <c r="M23" s="32"/>
      <c r="N23" s="32"/>
      <c r="O23" s="13"/>
      <c r="P23" s="32"/>
      <c r="Q23" s="32"/>
      <c r="R23" s="13"/>
      <c r="S23" s="32"/>
      <c r="T23" s="32"/>
      <c r="U23" s="13"/>
      <c r="V23" s="32"/>
      <c r="W23" s="32"/>
      <c r="X23" s="13"/>
      <c r="Y23" s="32"/>
      <c r="Z23" s="32"/>
      <c r="AA23" s="13"/>
      <c r="AB23" s="32"/>
      <c r="AC23" s="32"/>
      <c r="AD23" s="33"/>
      <c r="AE23" s="34"/>
      <c r="AF23" s="34"/>
      <c r="AG23" s="29"/>
      <c r="AH23" s="29"/>
      <c r="AI23" s="29"/>
      <c r="AJ23" s="29"/>
    </row>
    <row r="24" s="28" customFormat="1" ht="16.5" spans="1:36">
      <c r="A24" s="10" t="s">
        <v>55</v>
      </c>
      <c r="B24" s="11">
        <v>530000</v>
      </c>
      <c r="C24" s="12" t="s">
        <v>33</v>
      </c>
      <c r="D24" s="11"/>
      <c r="E24" s="11"/>
      <c r="F24" s="13"/>
      <c r="G24" s="32">
        <v>490000</v>
      </c>
      <c r="H24" s="32">
        <v>0</v>
      </c>
      <c r="I24" s="13"/>
      <c r="J24" s="32">
        <v>500000</v>
      </c>
      <c r="K24" s="32">
        <v>0</v>
      </c>
      <c r="L24" s="13"/>
      <c r="M24" s="32">
        <v>540000</v>
      </c>
      <c r="N24" s="32">
        <v>0</v>
      </c>
      <c r="O24" s="13"/>
      <c r="P24" s="32"/>
      <c r="Q24" s="32"/>
      <c r="R24" s="13"/>
      <c r="S24" s="32"/>
      <c r="T24" s="32"/>
      <c r="U24" s="13"/>
      <c r="V24" s="32"/>
      <c r="W24" s="32"/>
      <c r="X24" s="13"/>
      <c r="Y24" s="32"/>
      <c r="Z24" s="32"/>
      <c r="AA24" s="13"/>
      <c r="AB24" s="32"/>
      <c r="AC24" s="32"/>
      <c r="AD24" s="33"/>
      <c r="AE24" s="34"/>
      <c r="AF24" s="34"/>
      <c r="AG24" s="29"/>
      <c r="AH24" s="29"/>
      <c r="AI24" s="29"/>
      <c r="AJ24" s="29"/>
    </row>
    <row r="25" s="28" customFormat="1" ht="16.5" spans="1:36">
      <c r="A25" s="10" t="s">
        <v>56</v>
      </c>
      <c r="B25" s="11">
        <v>520000</v>
      </c>
      <c r="C25" s="12" t="s">
        <v>33</v>
      </c>
      <c r="D25" s="11"/>
      <c r="E25" s="11"/>
      <c r="F25" s="13"/>
      <c r="G25" s="32">
        <v>455000</v>
      </c>
      <c r="H25" s="32">
        <v>0</v>
      </c>
      <c r="I25" s="13"/>
      <c r="J25" s="32">
        <v>465000</v>
      </c>
      <c r="K25" s="32">
        <v>0</v>
      </c>
      <c r="L25" s="13"/>
      <c r="M25" s="32">
        <v>470000</v>
      </c>
      <c r="N25" s="32">
        <v>0</v>
      </c>
      <c r="O25" s="13"/>
      <c r="P25" s="32">
        <v>500000</v>
      </c>
      <c r="Q25" s="32">
        <v>0</v>
      </c>
      <c r="R25" s="13"/>
      <c r="S25" s="32">
        <v>510000</v>
      </c>
      <c r="T25" s="32">
        <v>0</v>
      </c>
      <c r="U25" s="13"/>
      <c r="V25" s="32">
        <v>520000</v>
      </c>
      <c r="W25" s="32">
        <v>0</v>
      </c>
      <c r="X25" s="13"/>
      <c r="Y25" s="32">
        <v>520000</v>
      </c>
      <c r="Z25" s="32">
        <v>65633510</v>
      </c>
      <c r="AA25" s="13"/>
      <c r="AB25" s="32"/>
      <c r="AC25" s="32"/>
      <c r="AD25" s="33"/>
      <c r="AE25" s="34"/>
      <c r="AF25" s="34"/>
      <c r="AG25" s="29"/>
      <c r="AH25" s="29"/>
      <c r="AI25" s="29"/>
      <c r="AJ25" s="29"/>
    </row>
    <row r="26" s="28" customFormat="1" ht="16.5" spans="1:36">
      <c r="A26" s="10" t="s">
        <v>57</v>
      </c>
      <c r="B26" s="11">
        <v>500000</v>
      </c>
      <c r="C26" s="12" t="s">
        <v>33</v>
      </c>
      <c r="D26" s="11">
        <v>360000</v>
      </c>
      <c r="E26" s="11">
        <v>190000</v>
      </c>
      <c r="F26" s="13"/>
      <c r="G26" s="32">
        <v>430000</v>
      </c>
      <c r="H26" s="32">
        <v>0</v>
      </c>
      <c r="I26" s="13"/>
      <c r="J26" s="32">
        <v>440000</v>
      </c>
      <c r="K26" s="32">
        <v>0</v>
      </c>
      <c r="L26" s="13"/>
      <c r="M26" s="32">
        <v>460000</v>
      </c>
      <c r="N26" s="32">
        <v>0</v>
      </c>
      <c r="O26" s="13"/>
      <c r="P26" s="32">
        <v>490000</v>
      </c>
      <c r="Q26" s="32">
        <v>0</v>
      </c>
      <c r="R26" s="13"/>
      <c r="S26" s="32">
        <v>510000</v>
      </c>
      <c r="T26" s="32">
        <v>0</v>
      </c>
      <c r="U26" s="13"/>
      <c r="V26" s="32">
        <v>500000</v>
      </c>
      <c r="W26" s="32">
        <v>5304663.5</v>
      </c>
      <c r="X26" s="13"/>
      <c r="Y26" s="32"/>
      <c r="Z26" s="32"/>
      <c r="AA26" s="13"/>
      <c r="AB26" s="32"/>
      <c r="AC26" s="32"/>
      <c r="AD26" s="33"/>
      <c r="AE26" s="34"/>
      <c r="AF26" s="34"/>
      <c r="AG26" s="29"/>
      <c r="AH26" s="29"/>
      <c r="AI26" s="29"/>
      <c r="AJ26" s="29"/>
    </row>
    <row r="27" s="28" customFormat="1" ht="16.5" spans="1:36">
      <c r="A27" s="10" t="s">
        <v>58</v>
      </c>
      <c r="B27" s="11">
        <v>520000</v>
      </c>
      <c r="C27" s="12" t="s">
        <v>33</v>
      </c>
      <c r="D27" s="11"/>
      <c r="E27" s="11"/>
      <c r="F27" s="13"/>
      <c r="G27" s="32">
        <v>460000</v>
      </c>
      <c r="H27" s="32">
        <v>0</v>
      </c>
      <c r="I27" s="13"/>
      <c r="J27" s="32"/>
      <c r="K27" s="32"/>
      <c r="L27" s="13"/>
      <c r="M27" s="32"/>
      <c r="N27" s="32"/>
      <c r="O27" s="13"/>
      <c r="P27" s="32"/>
      <c r="Q27" s="32"/>
      <c r="R27" s="13"/>
      <c r="S27" s="32"/>
      <c r="T27" s="32"/>
      <c r="U27" s="13"/>
      <c r="V27" s="32"/>
      <c r="W27" s="32"/>
      <c r="X27" s="13"/>
      <c r="Y27" s="32"/>
      <c r="Z27" s="32"/>
      <c r="AA27" s="13"/>
      <c r="AB27" s="32"/>
      <c r="AC27" s="32"/>
      <c r="AD27" s="33"/>
      <c r="AE27" s="34"/>
      <c r="AF27" s="34"/>
      <c r="AG27" s="29"/>
      <c r="AH27" s="29"/>
      <c r="AI27" s="29"/>
      <c r="AJ27" s="29"/>
    </row>
    <row r="28" s="28" customFormat="1" ht="16.5" spans="1:36">
      <c r="A28" s="10" t="s">
        <v>59</v>
      </c>
      <c r="B28" s="11">
        <v>530000</v>
      </c>
      <c r="C28" s="12" t="s">
        <v>33</v>
      </c>
      <c r="D28" s="11"/>
      <c r="E28" s="11"/>
      <c r="F28" s="13"/>
      <c r="G28" s="32">
        <v>460000</v>
      </c>
      <c r="H28" s="32">
        <v>0</v>
      </c>
      <c r="I28" s="13"/>
      <c r="J28" s="32">
        <v>490000</v>
      </c>
      <c r="K28" s="32">
        <v>0</v>
      </c>
      <c r="L28" s="13"/>
      <c r="M28" s="32">
        <v>500000</v>
      </c>
      <c r="N28" s="32">
        <v>0</v>
      </c>
      <c r="O28" s="13"/>
      <c r="P28" s="32">
        <v>530000</v>
      </c>
      <c r="Q28" s="32">
        <v>1552230</v>
      </c>
      <c r="R28" s="13"/>
      <c r="S28" s="32"/>
      <c r="T28" s="32"/>
      <c r="U28" s="13"/>
      <c r="V28" s="32"/>
      <c r="W28" s="32"/>
      <c r="X28" s="13"/>
      <c r="Y28" s="32"/>
      <c r="Z28" s="32"/>
      <c r="AA28" s="13"/>
      <c r="AB28" s="32"/>
      <c r="AC28" s="32"/>
      <c r="AD28" s="33"/>
      <c r="AE28" s="34"/>
      <c r="AF28" s="34"/>
      <c r="AG28" s="29"/>
      <c r="AH28" s="29"/>
      <c r="AI28" s="29"/>
      <c r="AJ28" s="29"/>
    </row>
    <row r="29" s="28" customFormat="1" ht="16.5" spans="1:36">
      <c r="A29" s="10" t="s">
        <v>60</v>
      </c>
      <c r="B29" s="11">
        <v>510000</v>
      </c>
      <c r="C29" s="12" t="s">
        <v>33</v>
      </c>
      <c r="D29" s="11">
        <v>380000</v>
      </c>
      <c r="E29" s="11">
        <v>190000</v>
      </c>
      <c r="F29" s="13"/>
      <c r="G29" s="32">
        <v>450000</v>
      </c>
      <c r="H29" s="32">
        <v>0</v>
      </c>
      <c r="I29" s="13"/>
      <c r="J29" s="32">
        <v>470000</v>
      </c>
      <c r="K29" s="32">
        <v>0</v>
      </c>
      <c r="L29" s="13"/>
      <c r="M29" s="32">
        <v>480000</v>
      </c>
      <c r="N29" s="32">
        <v>0</v>
      </c>
      <c r="O29" s="13"/>
      <c r="P29" s="32">
        <v>500000</v>
      </c>
      <c r="Q29" s="32">
        <v>0</v>
      </c>
      <c r="R29" s="13"/>
      <c r="S29" s="32">
        <v>520000</v>
      </c>
      <c r="T29" s="32">
        <v>0</v>
      </c>
      <c r="U29" s="13"/>
      <c r="V29" s="32">
        <v>510000</v>
      </c>
      <c r="W29" s="32">
        <v>29743200</v>
      </c>
      <c r="X29" s="13"/>
      <c r="Y29" s="32"/>
      <c r="Z29" s="32"/>
      <c r="AA29" s="13"/>
      <c r="AB29" s="32"/>
      <c r="AC29" s="32"/>
      <c r="AD29" s="33"/>
      <c r="AE29" s="34"/>
      <c r="AF29" s="34"/>
      <c r="AG29" s="29"/>
      <c r="AH29" s="29"/>
      <c r="AI29" s="29"/>
      <c r="AJ29" s="29"/>
    </row>
    <row r="30" s="28" customFormat="1" ht="16.5" spans="1:36">
      <c r="A30" s="10" t="s">
        <v>61</v>
      </c>
      <c r="B30" s="11">
        <v>510000</v>
      </c>
      <c r="C30" s="12" t="s">
        <v>33</v>
      </c>
      <c r="D30" s="11"/>
      <c r="E30" s="11"/>
      <c r="F30" s="13"/>
      <c r="G30" s="32">
        <v>450000</v>
      </c>
      <c r="H30" s="32">
        <v>0</v>
      </c>
      <c r="I30" s="13"/>
      <c r="J30" s="32">
        <v>480000</v>
      </c>
      <c r="K30" s="32">
        <v>0</v>
      </c>
      <c r="L30" s="13"/>
      <c r="M30" s="32">
        <v>500000</v>
      </c>
      <c r="N30" s="32">
        <v>0</v>
      </c>
      <c r="O30" s="13"/>
      <c r="P30" s="32">
        <v>510000</v>
      </c>
      <c r="Q30" s="32">
        <v>0</v>
      </c>
      <c r="R30" s="13"/>
      <c r="S30" s="32">
        <v>510000</v>
      </c>
      <c r="T30" s="32">
        <v>0.25</v>
      </c>
      <c r="U30" s="13"/>
      <c r="V30" s="32"/>
      <c r="W30" s="32"/>
      <c r="X30" s="13"/>
      <c r="Y30" s="32"/>
      <c r="Z30" s="32"/>
      <c r="AA30" s="13"/>
      <c r="AB30" s="32"/>
      <c r="AC30" s="32"/>
      <c r="AD30" s="33"/>
      <c r="AE30" s="34"/>
      <c r="AF30" s="34"/>
      <c r="AG30" s="29"/>
      <c r="AH30" s="29"/>
      <c r="AI30" s="29"/>
      <c r="AJ30" s="29"/>
    </row>
    <row r="31" s="28" customFormat="1" ht="16.5" spans="1:36">
      <c r="A31" s="10" t="s">
        <v>62</v>
      </c>
      <c r="B31" s="11">
        <v>510000</v>
      </c>
      <c r="C31" s="12" t="s">
        <v>33</v>
      </c>
      <c r="D31" s="11"/>
      <c r="E31" s="11"/>
      <c r="F31" s="13"/>
      <c r="G31" s="32">
        <v>440000</v>
      </c>
      <c r="H31" s="32">
        <v>0</v>
      </c>
      <c r="I31" s="13"/>
      <c r="J31" s="32">
        <v>450000</v>
      </c>
      <c r="K31" s="32">
        <v>0</v>
      </c>
      <c r="L31" s="13"/>
      <c r="M31" s="32">
        <v>470000</v>
      </c>
      <c r="N31" s="32">
        <v>0</v>
      </c>
      <c r="O31" s="13"/>
      <c r="P31" s="32">
        <v>500000</v>
      </c>
      <c r="Q31" s="32">
        <v>0</v>
      </c>
      <c r="R31" s="13"/>
      <c r="S31" s="32">
        <v>510000</v>
      </c>
      <c r="T31" s="32">
        <v>10761867.13</v>
      </c>
      <c r="U31" s="13"/>
      <c r="V31" s="32"/>
      <c r="W31" s="32"/>
      <c r="X31" s="13"/>
      <c r="Y31" s="32"/>
      <c r="Z31" s="32"/>
      <c r="AA31" s="13"/>
      <c r="AB31" s="32"/>
      <c r="AC31" s="32"/>
      <c r="AD31" s="33"/>
      <c r="AE31" s="34"/>
      <c r="AF31" s="34"/>
      <c r="AG31" s="29"/>
      <c r="AH31" s="29"/>
      <c r="AI31" s="29"/>
      <c r="AJ31" s="29"/>
    </row>
    <row r="32" s="28" customFormat="1" ht="16.5" spans="1:36">
      <c r="A32" s="10" t="s">
        <v>63</v>
      </c>
      <c r="B32" s="11">
        <v>530000</v>
      </c>
      <c r="C32" s="12" t="s">
        <v>33</v>
      </c>
      <c r="D32" s="11"/>
      <c r="E32" s="11"/>
      <c r="F32" s="13"/>
      <c r="G32" s="32">
        <v>460000</v>
      </c>
      <c r="H32" s="32">
        <v>0</v>
      </c>
      <c r="I32" s="13"/>
      <c r="J32" s="32">
        <v>470000</v>
      </c>
      <c r="K32" s="32">
        <v>0</v>
      </c>
      <c r="L32" s="13"/>
      <c r="M32" s="32">
        <v>520000</v>
      </c>
      <c r="N32" s="32">
        <v>0</v>
      </c>
      <c r="O32" s="13"/>
      <c r="P32" s="32">
        <v>530000</v>
      </c>
      <c r="Q32" s="32">
        <v>6264615</v>
      </c>
      <c r="R32" s="13"/>
      <c r="S32" s="32"/>
      <c r="T32" s="32"/>
      <c r="U32" s="13"/>
      <c r="V32" s="32"/>
      <c r="W32" s="32"/>
      <c r="X32" s="13"/>
      <c r="Y32" s="32"/>
      <c r="Z32" s="32"/>
      <c r="AA32" s="13"/>
      <c r="AB32" s="32"/>
      <c r="AC32" s="32"/>
      <c r="AD32" s="33"/>
      <c r="AE32" s="34"/>
      <c r="AF32" s="34"/>
      <c r="AG32" s="29"/>
      <c r="AH32" s="29"/>
      <c r="AI32" s="29"/>
      <c r="AJ32" s="29"/>
    </row>
    <row r="33" s="28" customFormat="1" ht="16.5" spans="1:36">
      <c r="A33" s="10" t="s">
        <v>64</v>
      </c>
      <c r="B33" s="11">
        <v>510000</v>
      </c>
      <c r="C33" s="12" t="s">
        <v>33</v>
      </c>
      <c r="D33" s="11"/>
      <c r="E33" s="11"/>
      <c r="F33" s="13"/>
      <c r="G33" s="32">
        <v>440000</v>
      </c>
      <c r="H33" s="32">
        <v>0</v>
      </c>
      <c r="I33" s="13"/>
      <c r="J33" s="32">
        <v>450000</v>
      </c>
      <c r="K33" s="32">
        <v>0</v>
      </c>
      <c r="L33" s="13"/>
      <c r="M33" s="32">
        <v>470000</v>
      </c>
      <c r="N33" s="32">
        <v>37198700</v>
      </c>
      <c r="O33" s="13"/>
      <c r="P33" s="32"/>
      <c r="Q33" s="32"/>
      <c r="R33" s="13"/>
      <c r="S33" s="32"/>
      <c r="T33" s="32"/>
      <c r="U33" s="13"/>
      <c r="V33" s="32"/>
      <c r="W33" s="32"/>
      <c r="X33" s="13"/>
      <c r="Y33" s="32"/>
      <c r="Z33" s="32"/>
      <c r="AA33" s="13"/>
      <c r="AB33" s="32"/>
      <c r="AC33" s="32"/>
      <c r="AD33" s="33"/>
      <c r="AE33" s="34"/>
      <c r="AF33" s="34"/>
      <c r="AG33" s="29"/>
      <c r="AH33" s="29"/>
      <c r="AI33" s="29"/>
      <c r="AJ33" s="29"/>
    </row>
    <row r="34" s="28" customFormat="1" ht="16.5" spans="1:36">
      <c r="A34" s="10" t="s">
        <v>65</v>
      </c>
      <c r="B34" s="11">
        <v>510000</v>
      </c>
      <c r="C34" s="12" t="s">
        <v>33</v>
      </c>
      <c r="D34" s="11">
        <v>390000</v>
      </c>
      <c r="E34" s="11">
        <v>170000</v>
      </c>
      <c r="F34" s="13"/>
      <c r="G34" s="32">
        <v>480000</v>
      </c>
      <c r="H34" s="32">
        <v>0</v>
      </c>
      <c r="I34" s="13"/>
      <c r="J34" s="32">
        <v>500000</v>
      </c>
      <c r="K34" s="32">
        <v>0</v>
      </c>
      <c r="L34" s="13"/>
      <c r="M34" s="32">
        <v>510000</v>
      </c>
      <c r="N34" s="32">
        <v>134216285</v>
      </c>
      <c r="O34" s="13"/>
      <c r="P34" s="32"/>
      <c r="Q34" s="32"/>
      <c r="R34" s="13"/>
      <c r="S34" s="32"/>
      <c r="T34" s="32"/>
      <c r="U34" s="13"/>
      <c r="V34" s="32"/>
      <c r="W34" s="32"/>
      <c r="X34" s="13"/>
      <c r="Y34" s="32"/>
      <c r="Z34" s="32"/>
      <c r="AA34" s="13"/>
      <c r="AB34" s="32"/>
      <c r="AC34" s="32"/>
      <c r="AD34" s="33"/>
      <c r="AE34" s="34"/>
      <c r="AF34" s="34"/>
      <c r="AG34" s="29"/>
      <c r="AH34" s="29"/>
      <c r="AI34" s="29"/>
      <c r="AJ34" s="29"/>
    </row>
    <row r="35" s="28" customFormat="1" ht="16.5" spans="1:36">
      <c r="A35" s="10" t="s">
        <v>66</v>
      </c>
      <c r="B35" s="11">
        <v>540000</v>
      </c>
      <c r="C35" s="12" t="s">
        <v>33</v>
      </c>
      <c r="D35" s="14"/>
      <c r="E35" s="14"/>
      <c r="F35" s="13"/>
      <c r="G35" s="32">
        <v>530000</v>
      </c>
      <c r="H35" s="32">
        <v>0</v>
      </c>
      <c r="I35" s="13"/>
      <c r="J35" s="32"/>
      <c r="K35" s="32"/>
      <c r="L35" s="13"/>
      <c r="M35" s="32"/>
      <c r="N35" s="32"/>
      <c r="O35" s="13"/>
      <c r="P35" s="32"/>
      <c r="Q35" s="32"/>
      <c r="R35" s="13"/>
      <c r="S35" s="32"/>
      <c r="T35" s="32"/>
      <c r="U35" s="13"/>
      <c r="V35" s="32"/>
      <c r="W35" s="32"/>
      <c r="X35" s="13"/>
      <c r="Y35" s="32"/>
      <c r="Z35" s="32"/>
      <c r="AA35" s="13"/>
      <c r="AB35" s="32"/>
      <c r="AC35" s="32"/>
      <c r="AD35" s="33"/>
      <c r="AE35" s="34"/>
      <c r="AF35" s="34"/>
      <c r="AG35" s="29"/>
      <c r="AH35" s="29"/>
      <c r="AI35" s="29"/>
      <c r="AJ35" s="29"/>
    </row>
    <row r="36" s="28" customFormat="1" ht="16.5" spans="1:36">
      <c r="A36" s="10" t="s">
        <v>67</v>
      </c>
      <c r="B36" s="11">
        <v>510000</v>
      </c>
      <c r="C36" s="36" t="s">
        <v>33</v>
      </c>
      <c r="D36" s="11">
        <v>380000</v>
      </c>
      <c r="E36" s="11">
        <v>170000</v>
      </c>
      <c r="F36" s="13"/>
      <c r="G36" s="32">
        <v>0</v>
      </c>
      <c r="H36" s="32">
        <v>0</v>
      </c>
      <c r="I36" s="13"/>
      <c r="J36" s="32">
        <v>500000</v>
      </c>
      <c r="K36" s="32">
        <v>17818000</v>
      </c>
      <c r="L36" s="13"/>
      <c r="M36" s="32"/>
      <c r="N36" s="32"/>
      <c r="O36" s="13"/>
      <c r="P36" s="32"/>
      <c r="Q36" s="32"/>
      <c r="R36" s="13"/>
      <c r="S36" s="32"/>
      <c r="T36" s="32"/>
      <c r="U36" s="13"/>
      <c r="V36" s="32"/>
      <c r="W36" s="32"/>
      <c r="X36" s="13"/>
      <c r="Y36" s="32"/>
      <c r="Z36" s="32"/>
      <c r="AA36" s="13"/>
      <c r="AB36" s="32"/>
      <c r="AC36" s="32"/>
      <c r="AD36" s="33"/>
      <c r="AE36" s="34"/>
      <c r="AF36" s="34"/>
      <c r="AG36" s="29"/>
      <c r="AH36" s="29"/>
      <c r="AI36" s="29"/>
      <c r="AJ36" s="29"/>
    </row>
    <row r="37" s="28" customFormat="1" ht="16.5" spans="1:36">
      <c r="A37" s="10" t="s">
        <v>68</v>
      </c>
      <c r="B37" s="11">
        <v>500000</v>
      </c>
      <c r="C37" s="36" t="s">
        <v>33</v>
      </c>
      <c r="D37" s="11">
        <v>350000</v>
      </c>
      <c r="E37" s="11">
        <v>170000</v>
      </c>
      <c r="F37" s="13"/>
      <c r="G37" s="32">
        <v>440000</v>
      </c>
      <c r="H37" s="32">
        <v>0</v>
      </c>
      <c r="I37" s="13"/>
      <c r="J37" s="32">
        <v>460000</v>
      </c>
      <c r="K37" s="32">
        <v>0</v>
      </c>
      <c r="L37" s="13"/>
      <c r="M37" s="32">
        <v>470000</v>
      </c>
      <c r="N37" s="32">
        <v>0</v>
      </c>
      <c r="O37" s="13"/>
      <c r="P37" s="32">
        <v>490000</v>
      </c>
      <c r="Q37" s="32">
        <v>17851543</v>
      </c>
      <c r="R37" s="13"/>
      <c r="S37" s="32">
        <v>500000</v>
      </c>
      <c r="T37" s="32">
        <v>500000000</v>
      </c>
      <c r="U37" s="13"/>
      <c r="V37" s="32"/>
      <c r="W37" s="32"/>
      <c r="X37" s="13"/>
      <c r="Y37" s="32"/>
      <c r="Z37" s="32"/>
      <c r="AA37" s="13"/>
      <c r="AB37" s="32"/>
      <c r="AC37" s="32"/>
      <c r="AD37" s="33"/>
      <c r="AE37" s="34"/>
      <c r="AF37" s="34"/>
      <c r="AG37" s="29"/>
      <c r="AH37" s="29"/>
      <c r="AI37" s="29"/>
      <c r="AJ37" s="29"/>
    </row>
    <row r="38" s="28" customFormat="1" ht="16.5" spans="1:36">
      <c r="A38" s="10" t="s">
        <v>69</v>
      </c>
      <c r="B38" s="11">
        <v>500000</v>
      </c>
      <c r="C38" s="36" t="s">
        <v>33</v>
      </c>
      <c r="D38" s="11">
        <v>350000</v>
      </c>
      <c r="E38" s="11">
        <v>170000</v>
      </c>
      <c r="F38" s="13"/>
      <c r="G38" s="32">
        <v>440000</v>
      </c>
      <c r="H38" s="32">
        <v>0</v>
      </c>
      <c r="I38" s="13"/>
      <c r="J38" s="32">
        <v>460000</v>
      </c>
      <c r="K38" s="32">
        <v>0</v>
      </c>
      <c r="L38" s="13"/>
      <c r="M38" s="32">
        <v>470000</v>
      </c>
      <c r="N38" s="32">
        <v>0</v>
      </c>
      <c r="O38" s="13"/>
      <c r="P38" s="32">
        <v>490000</v>
      </c>
      <c r="Q38" s="32">
        <v>142610695.55</v>
      </c>
      <c r="R38" s="13"/>
      <c r="S38" s="32">
        <v>500000</v>
      </c>
      <c r="T38" s="32">
        <v>500000000</v>
      </c>
      <c r="U38" s="13"/>
      <c r="V38" s="32"/>
      <c r="W38" s="32"/>
      <c r="X38" s="13"/>
      <c r="Y38" s="32"/>
      <c r="Z38" s="32"/>
      <c r="AA38" s="13"/>
      <c r="AB38" s="32"/>
      <c r="AC38" s="32"/>
      <c r="AD38" s="33"/>
      <c r="AE38" s="34"/>
      <c r="AF38" s="34"/>
      <c r="AG38" s="29"/>
      <c r="AH38" s="29"/>
      <c r="AI38" s="29"/>
      <c r="AJ38" s="29"/>
    </row>
    <row r="39" s="28" customFormat="1" ht="16.5" spans="1:36">
      <c r="A39" s="10" t="s">
        <v>70</v>
      </c>
      <c r="B39" s="11">
        <v>540000</v>
      </c>
      <c r="C39" s="36" t="s">
        <v>33</v>
      </c>
      <c r="D39" s="11"/>
      <c r="E39" s="11"/>
      <c r="F39" s="13"/>
      <c r="G39" s="32">
        <v>540000</v>
      </c>
      <c r="H39" s="32">
        <v>0</v>
      </c>
      <c r="I39" s="13"/>
      <c r="J39" s="32"/>
      <c r="K39" s="32"/>
      <c r="L39" s="13"/>
      <c r="M39" s="32"/>
      <c r="N39" s="32"/>
      <c r="O39" s="13"/>
      <c r="P39" s="32"/>
      <c r="Q39" s="32"/>
      <c r="R39" s="13"/>
      <c r="S39" s="32"/>
      <c r="T39" s="32"/>
      <c r="U39" s="13"/>
      <c r="V39" s="32"/>
      <c r="W39" s="32"/>
      <c r="X39" s="13"/>
      <c r="Y39" s="32"/>
      <c r="Z39" s="32"/>
      <c r="AA39" s="13"/>
      <c r="AB39" s="32"/>
      <c r="AC39" s="32"/>
      <c r="AD39" s="33"/>
      <c r="AE39" s="34"/>
      <c r="AF39" s="34"/>
      <c r="AG39" s="29"/>
      <c r="AH39" s="29"/>
      <c r="AI39" s="29"/>
      <c r="AJ39" s="29"/>
    </row>
    <row r="40" s="28" customFormat="1" ht="16.5" spans="1:36">
      <c r="A40" s="10" t="s">
        <v>71</v>
      </c>
      <c r="B40" s="11">
        <v>520000</v>
      </c>
      <c r="C40" s="36" t="s">
        <v>33</v>
      </c>
      <c r="D40" s="11"/>
      <c r="E40" s="11"/>
      <c r="F40" s="13"/>
      <c r="G40" s="32">
        <v>500000</v>
      </c>
      <c r="H40" s="32">
        <v>0</v>
      </c>
      <c r="I40" s="13"/>
      <c r="J40" s="32"/>
      <c r="K40" s="32"/>
      <c r="L40" s="13"/>
      <c r="M40" s="32"/>
      <c r="N40" s="32"/>
      <c r="O40" s="13"/>
      <c r="P40" s="32"/>
      <c r="Q40" s="32"/>
      <c r="R40" s="13"/>
      <c r="S40" s="32"/>
      <c r="T40" s="32"/>
      <c r="U40" s="13"/>
      <c r="V40" s="32"/>
      <c r="W40" s="32"/>
      <c r="X40" s="13"/>
      <c r="Y40" s="32"/>
      <c r="Z40" s="32"/>
      <c r="AA40" s="13"/>
      <c r="AB40" s="32"/>
      <c r="AC40" s="32"/>
      <c r="AD40" s="33"/>
      <c r="AE40" s="34"/>
      <c r="AF40" s="34"/>
      <c r="AG40" s="29"/>
      <c r="AH40" s="29"/>
      <c r="AI40" s="29"/>
      <c r="AJ40" s="29"/>
    </row>
    <row r="41" s="28" customFormat="1" ht="16.5" spans="1:36">
      <c r="A41" s="10" t="s">
        <v>72</v>
      </c>
      <c r="B41" s="11">
        <v>510000</v>
      </c>
      <c r="C41" s="36" t="s">
        <v>33</v>
      </c>
      <c r="D41" s="11">
        <v>390000</v>
      </c>
      <c r="E41" s="11">
        <v>200000</v>
      </c>
      <c r="F41" s="13"/>
      <c r="G41" s="32">
        <v>510000</v>
      </c>
      <c r="H41" s="32">
        <v>107902955</v>
      </c>
      <c r="I41" s="13"/>
      <c r="J41" s="32"/>
      <c r="K41" s="32"/>
      <c r="L41" s="13"/>
      <c r="M41" s="32"/>
      <c r="N41" s="32"/>
      <c r="O41" s="13"/>
      <c r="P41" s="32"/>
      <c r="Q41" s="32"/>
      <c r="R41" s="13"/>
      <c r="S41" s="32"/>
      <c r="T41" s="32"/>
      <c r="U41" s="13"/>
      <c r="V41" s="32"/>
      <c r="W41" s="32"/>
      <c r="X41" s="13"/>
      <c r="Y41" s="32"/>
      <c r="Z41" s="32"/>
      <c r="AA41" s="13"/>
      <c r="AB41" s="32"/>
      <c r="AC41" s="32"/>
      <c r="AD41" s="33"/>
      <c r="AE41" s="34"/>
      <c r="AF41" s="34"/>
      <c r="AG41" s="29"/>
      <c r="AH41" s="29"/>
      <c r="AI41" s="29"/>
      <c r="AJ41" s="29"/>
    </row>
    <row r="42" ht="16.5" spans="1:36">
      <c r="A42" s="15" t="s">
        <v>73</v>
      </c>
      <c r="B42" s="16"/>
      <c r="C42" s="37" t="s">
        <v>33</v>
      </c>
      <c r="D42" s="16"/>
      <c r="E42" s="16"/>
      <c r="F42" s="33"/>
      <c r="G42" s="34">
        <v>545000</v>
      </c>
      <c r="H42" s="34">
        <v>246617600</v>
      </c>
      <c r="I42" s="33"/>
      <c r="J42" s="34"/>
      <c r="K42" s="34"/>
      <c r="L42" s="33"/>
      <c r="M42" s="34"/>
      <c r="N42" s="34"/>
      <c r="O42" s="33"/>
      <c r="P42" s="34"/>
      <c r="Q42" s="34"/>
      <c r="R42" s="33"/>
      <c r="S42" s="34"/>
      <c r="T42" s="34"/>
      <c r="U42" s="33"/>
      <c r="V42" s="34"/>
      <c r="W42" s="34"/>
      <c r="X42" s="33"/>
      <c r="Y42" s="34"/>
      <c r="Z42" s="34"/>
      <c r="AA42" s="33"/>
      <c r="AB42" s="34"/>
      <c r="AC42" s="34"/>
      <c r="AD42" s="33"/>
      <c r="AE42" s="34"/>
      <c r="AF42" s="34"/>
    </row>
    <row r="43" ht="16.5" spans="1:36">
      <c r="A43" s="15" t="s">
        <v>74</v>
      </c>
      <c r="B43" s="16">
        <v>530000</v>
      </c>
      <c r="C43" s="37" t="s">
        <v>33</v>
      </c>
      <c r="D43" s="16"/>
      <c r="E43" s="16"/>
      <c r="F43" s="33"/>
      <c r="G43" s="34">
        <v>530000</v>
      </c>
      <c r="H43" s="34">
        <v>0</v>
      </c>
      <c r="I43" s="33"/>
      <c r="J43" s="34"/>
      <c r="K43" s="34"/>
      <c r="L43" s="33"/>
      <c r="M43" s="34"/>
      <c r="N43" s="34"/>
      <c r="O43" s="33"/>
      <c r="P43" s="34"/>
      <c r="Q43" s="34"/>
      <c r="R43" s="33"/>
      <c r="S43" s="34"/>
      <c r="T43" s="34"/>
      <c r="U43" s="33"/>
      <c r="V43" s="34"/>
      <c r="W43" s="34"/>
      <c r="X43" s="33"/>
      <c r="Y43" s="34"/>
      <c r="Z43" s="34"/>
      <c r="AA43" s="33"/>
      <c r="AB43" s="34"/>
      <c r="AC43" s="34"/>
      <c r="AD43" s="33"/>
      <c r="AE43" s="34"/>
      <c r="AF43" s="34"/>
    </row>
    <row r="44" ht="16.5" spans="1:36">
      <c r="A44" s="15" t="s">
        <v>75</v>
      </c>
      <c r="B44" s="16"/>
      <c r="C44" s="37" t="s">
        <v>33</v>
      </c>
      <c r="D44" s="16"/>
      <c r="E44" s="16"/>
      <c r="F44" s="33"/>
      <c r="G44" s="34">
        <v>500000</v>
      </c>
      <c r="H44" s="34">
        <v>0</v>
      </c>
      <c r="I44" s="33"/>
      <c r="J44" s="34">
        <v>520000</v>
      </c>
      <c r="K44" s="34">
        <v>0</v>
      </c>
      <c r="L44" s="33"/>
      <c r="M44" s="34"/>
      <c r="N44" s="34"/>
      <c r="O44" s="33"/>
      <c r="P44" s="34"/>
      <c r="Q44" s="34"/>
      <c r="R44" s="33"/>
      <c r="S44" s="34"/>
      <c r="T44" s="34"/>
      <c r="U44" s="33"/>
      <c r="V44" s="34"/>
      <c r="W44" s="34"/>
      <c r="X44" s="33"/>
      <c r="Y44" s="34"/>
      <c r="Z44" s="34"/>
      <c r="AA44" s="33"/>
      <c r="AB44" s="34"/>
      <c r="AC44" s="34"/>
      <c r="AD44" s="33"/>
      <c r="AE44" s="34"/>
      <c r="AF44" s="34"/>
    </row>
    <row r="45" ht="16.5" spans="1:36">
      <c r="A45" s="15" t="s">
        <v>76</v>
      </c>
      <c r="B45" s="16">
        <v>520000</v>
      </c>
      <c r="C45" s="37" t="s">
        <v>33</v>
      </c>
      <c r="D45" s="16"/>
      <c r="E45" s="16"/>
      <c r="F45" s="33"/>
      <c r="G45" s="34">
        <v>480000</v>
      </c>
      <c r="H45" s="34">
        <v>0</v>
      </c>
      <c r="I45" s="33"/>
      <c r="J45" s="34">
        <v>510000</v>
      </c>
      <c r="K45" s="34">
        <v>0</v>
      </c>
      <c r="L45" s="33"/>
      <c r="M45" s="34">
        <v>530000</v>
      </c>
      <c r="N45" s="34">
        <v>0</v>
      </c>
      <c r="O45" s="33"/>
      <c r="P45" s="34">
        <v>520000</v>
      </c>
      <c r="Q45" s="34">
        <v>197539580</v>
      </c>
      <c r="R45" s="33"/>
      <c r="S45" s="34"/>
      <c r="T45" s="34"/>
      <c r="U45" s="33"/>
      <c r="V45" s="34"/>
      <c r="W45" s="34"/>
      <c r="X45" s="33"/>
      <c r="Y45" s="34"/>
      <c r="Z45" s="34"/>
      <c r="AA45" s="33"/>
      <c r="AB45" s="34"/>
      <c r="AC45" s="34"/>
      <c r="AD45" s="33"/>
      <c r="AE45" s="34"/>
      <c r="AF45" s="34"/>
    </row>
    <row r="46" ht="16.5" spans="1:36">
      <c r="A46" s="15" t="s">
        <v>77</v>
      </c>
      <c r="B46" s="16">
        <v>530000</v>
      </c>
      <c r="C46" s="37" t="s">
        <v>33</v>
      </c>
      <c r="D46" s="16"/>
      <c r="E46" s="16"/>
      <c r="F46" s="33"/>
      <c r="G46" s="34">
        <v>460000</v>
      </c>
      <c r="H46" s="34">
        <v>0</v>
      </c>
      <c r="I46" s="33"/>
      <c r="J46" s="34">
        <v>520000</v>
      </c>
      <c r="K46" s="34">
        <v>36127438</v>
      </c>
      <c r="L46" s="33"/>
      <c r="M46" s="34">
        <v>530000</v>
      </c>
      <c r="N46" s="34">
        <v>50000000</v>
      </c>
      <c r="O46" s="33"/>
      <c r="P46" s="34"/>
      <c r="Q46" s="34"/>
      <c r="R46" s="33"/>
      <c r="S46" s="34"/>
      <c r="T46" s="34"/>
      <c r="U46" s="33"/>
      <c r="V46" s="34"/>
      <c r="W46" s="34"/>
      <c r="X46" s="33"/>
      <c r="Y46" s="34"/>
      <c r="Z46" s="34"/>
      <c r="AA46" s="33"/>
      <c r="AB46" s="34"/>
      <c r="AC46" s="34"/>
      <c r="AD46" s="33"/>
      <c r="AE46" s="34"/>
      <c r="AF46" s="34"/>
    </row>
    <row r="47" ht="16.5" spans="1:36">
      <c r="A47" s="15" t="s">
        <v>78</v>
      </c>
      <c r="B47" s="16">
        <v>510000</v>
      </c>
      <c r="C47" s="37" t="s">
        <v>33</v>
      </c>
      <c r="D47" s="16"/>
      <c r="E47" s="16"/>
      <c r="F47" s="33"/>
      <c r="G47" s="34">
        <v>450000</v>
      </c>
      <c r="H47" s="34">
        <v>0</v>
      </c>
      <c r="I47" s="33"/>
      <c r="J47" s="34">
        <v>470000</v>
      </c>
      <c r="K47" s="34">
        <v>0</v>
      </c>
      <c r="L47" s="33"/>
      <c r="M47" s="34">
        <v>480000</v>
      </c>
      <c r="N47" s="34">
        <v>0</v>
      </c>
      <c r="O47" s="33"/>
      <c r="P47" s="34">
        <v>490000</v>
      </c>
      <c r="Q47" s="34">
        <v>0</v>
      </c>
      <c r="R47" s="33"/>
      <c r="S47" s="34">
        <v>500000</v>
      </c>
      <c r="T47" s="34">
        <v>0</v>
      </c>
      <c r="U47" s="33"/>
      <c r="V47" s="34">
        <v>510000</v>
      </c>
      <c r="W47" s="34">
        <v>28862710</v>
      </c>
      <c r="X47" s="33"/>
      <c r="Y47" s="34"/>
      <c r="Z47" s="34"/>
      <c r="AA47" s="33"/>
      <c r="AB47" s="34"/>
      <c r="AC47" s="34"/>
      <c r="AD47" s="33"/>
      <c r="AE47" s="34"/>
      <c r="AF47" s="34"/>
    </row>
    <row r="48" ht="16.5" spans="1:36">
      <c r="A48" s="15" t="s">
        <v>79</v>
      </c>
      <c r="B48" s="16">
        <v>520000</v>
      </c>
      <c r="C48" s="37" t="s">
        <v>33</v>
      </c>
      <c r="D48" s="16"/>
      <c r="E48" s="16"/>
      <c r="F48" s="33"/>
      <c r="G48" s="34">
        <v>490000</v>
      </c>
      <c r="H48" s="34">
        <v>0</v>
      </c>
      <c r="I48" s="33"/>
      <c r="J48" s="34">
        <v>520000</v>
      </c>
      <c r="K48" s="34">
        <v>34851600</v>
      </c>
      <c r="L48" s="33"/>
      <c r="M48" s="34"/>
      <c r="N48" s="34"/>
      <c r="O48" s="33"/>
      <c r="P48" s="34"/>
      <c r="Q48" s="34"/>
      <c r="R48" s="33"/>
      <c r="S48" s="34"/>
      <c r="T48" s="34"/>
      <c r="U48" s="33"/>
      <c r="V48" s="34"/>
      <c r="W48" s="34"/>
      <c r="X48" s="33"/>
      <c r="Y48" s="34"/>
      <c r="Z48" s="34"/>
      <c r="AA48" s="33"/>
      <c r="AB48" s="34"/>
      <c r="AC48" s="34"/>
      <c r="AD48" s="33"/>
      <c r="AE48" s="34"/>
      <c r="AF48" s="3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S74"/>
  <sheetViews>
    <sheetView zoomScale="115" zoomScaleNormal="115" topLeftCell="I10" workbookViewId="0">
      <selection activeCell="M93" sqref="M93"/>
    </sheetView>
  </sheetViews>
  <sheetFormatPr defaultColWidth="9" defaultRowHeight="13.5"/>
  <cols>
    <col min="1" max="1" width="9" style="17"/>
    <col min="2" max="2" width="14.5" style="17" customWidth="1"/>
    <col min="3" max="3" width="25.9416666666667" style="18" customWidth="1"/>
    <col min="4" max="4" width="25.6916666666667" style="18" customWidth="1"/>
    <col min="5" max="6" width="26.2833333333333" style="18" customWidth="1"/>
    <col min="7" max="7" width="28.9583333333333" style="18" customWidth="1"/>
    <col min="8" max="8" width="24.1583333333333" style="18" customWidth="1"/>
    <col min="9" max="9" width="21.2" style="18" customWidth="1"/>
    <col min="10" max="10" width="20.325" style="18" customWidth="1"/>
    <col min="11" max="11" width="19.5583333333333" style="18" customWidth="1"/>
    <col min="12" max="13" width="21.375" style="18" customWidth="1"/>
    <col min="14" max="16" width="22.6" style="18" customWidth="1"/>
    <col min="17" max="17" width="14.3333333333333" style="18" customWidth="1"/>
    <col min="18" max="16384" width="9" style="17"/>
  </cols>
  <sheetData>
    <row r="1" spans="2:18">
      <c r="C1" s="18" t="s">
        <v>80</v>
      </c>
      <c r="D1" s="18" t="s">
        <v>81</v>
      </c>
      <c r="E1" s="18" t="s">
        <v>82</v>
      </c>
      <c r="F1" s="18" t="s">
        <v>83</v>
      </c>
      <c r="G1" s="18" t="s">
        <v>84</v>
      </c>
      <c r="H1" s="19" t="s">
        <v>85</v>
      </c>
      <c r="I1" s="19" t="s">
        <v>86</v>
      </c>
      <c r="J1" s="19" t="s">
        <v>87</v>
      </c>
      <c r="K1" s="19" t="s">
        <v>88</v>
      </c>
      <c r="L1" s="19" t="s">
        <v>89</v>
      </c>
      <c r="M1" s="19" t="s">
        <v>90</v>
      </c>
      <c r="N1" s="19" t="s">
        <v>91</v>
      </c>
      <c r="O1" s="19" t="s">
        <v>92</v>
      </c>
      <c r="P1" s="19" t="s">
        <v>93</v>
      </c>
    </row>
    <row r="2" spans="2:18">
      <c r="B2" s="17" t="s">
        <v>94</v>
      </c>
      <c r="C2" s="18">
        <v>430</v>
      </c>
      <c r="D2" s="18">
        <v>450</v>
      </c>
      <c r="E2" s="18">
        <v>470</v>
      </c>
      <c r="F2" s="18">
        <f>E2+20</f>
        <v>490</v>
      </c>
      <c r="G2" s="18">
        <f>F2+20</f>
        <v>510</v>
      </c>
      <c r="H2" s="18">
        <v>470</v>
      </c>
      <c r="I2" s="18">
        <f>H2-10</f>
        <v>460</v>
      </c>
      <c r="J2" s="18">
        <f>I2-10</f>
        <v>450</v>
      </c>
      <c r="K2" s="18">
        <v>470</v>
      </c>
      <c r="L2" s="18">
        <f>K2+20</f>
        <v>490</v>
      </c>
      <c r="M2" s="18">
        <f>L2+10</f>
        <v>500</v>
      </c>
      <c r="N2" s="18">
        <f>M2+20</f>
        <v>520</v>
      </c>
      <c r="O2" s="18">
        <f>N2+20</f>
        <v>540</v>
      </c>
      <c r="P2" s="18">
        <f>O2-10</f>
        <v>530</v>
      </c>
      <c r="Q2" s="18" t="s">
        <v>94</v>
      </c>
    </row>
    <row r="3" spans="2:18">
      <c r="B3" s="17" t="s">
        <v>95</v>
      </c>
      <c r="C3" s="18">
        <v>430</v>
      </c>
      <c r="D3" s="18">
        <v>450</v>
      </c>
      <c r="E3" s="18">
        <v>470</v>
      </c>
      <c r="F3" s="18">
        <f>E3+20</f>
        <v>490</v>
      </c>
      <c r="G3" s="18">
        <f>F3+20</f>
        <v>510</v>
      </c>
      <c r="H3" s="18">
        <v>470</v>
      </c>
      <c r="I3" s="18">
        <f>H3-10</f>
        <v>460</v>
      </c>
      <c r="J3" s="18">
        <f>I3-10</f>
        <v>450</v>
      </c>
      <c r="K3" s="18">
        <v>460</v>
      </c>
      <c r="L3" s="18">
        <f>K3+20</f>
        <v>480</v>
      </c>
      <c r="M3" s="18">
        <f>L3+10</f>
        <v>490</v>
      </c>
      <c r="N3" s="18">
        <f>M3+20</f>
        <v>510</v>
      </c>
      <c r="O3" s="18">
        <f>N3+20</f>
        <v>530</v>
      </c>
      <c r="P3" s="18">
        <f>O3-10</f>
        <v>520</v>
      </c>
      <c r="Q3" s="18" t="s">
        <v>95</v>
      </c>
    </row>
    <row r="4" spans="2:18">
      <c r="B4" s="17" t="s">
        <v>96</v>
      </c>
      <c r="C4" s="18">
        <v>420</v>
      </c>
      <c r="D4" s="18">
        <v>440</v>
      </c>
      <c r="E4" s="18">
        <v>460</v>
      </c>
      <c r="F4" s="18">
        <f>E4+20</f>
        <v>480</v>
      </c>
      <c r="G4" s="18">
        <f>F4+20</f>
        <v>500</v>
      </c>
      <c r="H4" s="18">
        <v>460</v>
      </c>
      <c r="I4" s="18">
        <f>H4-10</f>
        <v>450</v>
      </c>
      <c r="J4" s="18">
        <f>I4-10</f>
        <v>440</v>
      </c>
      <c r="K4" s="18">
        <v>450</v>
      </c>
      <c r="L4" s="18">
        <f>K4+20</f>
        <v>470</v>
      </c>
      <c r="M4" s="18">
        <f>L4+10</f>
        <v>480</v>
      </c>
      <c r="N4" s="18">
        <f>M4+20</f>
        <v>500</v>
      </c>
      <c r="O4" s="18">
        <f>N4+20</f>
        <v>520</v>
      </c>
      <c r="P4" s="18">
        <f>O4-10</f>
        <v>510</v>
      </c>
      <c r="Q4" s="18" t="s">
        <v>96</v>
      </c>
      <c r="R4" s="20"/>
    </row>
    <row r="5" spans="2:18">
      <c r="B5" s="17" t="s">
        <v>97</v>
      </c>
      <c r="C5" s="18">
        <v>420</v>
      </c>
      <c r="D5" s="18">
        <v>440</v>
      </c>
      <c r="E5" s="18">
        <v>460</v>
      </c>
      <c r="F5" s="18">
        <f>E5+20</f>
        <v>480</v>
      </c>
      <c r="G5" s="21">
        <v>480</v>
      </c>
      <c r="H5" s="18">
        <v>460</v>
      </c>
      <c r="I5" s="18">
        <f>H5-10</f>
        <v>450</v>
      </c>
      <c r="J5" s="18">
        <f>I5-10</f>
        <v>440</v>
      </c>
      <c r="Q5" s="18" t="s">
        <v>97</v>
      </c>
      <c r="R5" s="20"/>
    </row>
    <row r="6" spans="2:18">
      <c r="B6" s="17" t="s">
        <v>98</v>
      </c>
      <c r="C6" s="18">
        <v>435</v>
      </c>
      <c r="D6" s="18">
        <v>455</v>
      </c>
      <c r="E6" s="18">
        <v>475</v>
      </c>
      <c r="F6" s="18">
        <f>E6+20</f>
        <v>495</v>
      </c>
      <c r="G6" s="18">
        <f>F6+20</f>
        <v>515</v>
      </c>
      <c r="H6" s="18">
        <v>475</v>
      </c>
      <c r="I6" s="18">
        <f>H6-10</f>
        <v>465</v>
      </c>
      <c r="J6" s="18">
        <f>I6-10</f>
        <v>455</v>
      </c>
      <c r="K6" s="18">
        <v>465</v>
      </c>
      <c r="L6" s="18">
        <f>K6+20</f>
        <v>485</v>
      </c>
      <c r="M6" s="18">
        <f>L6+10</f>
        <v>495</v>
      </c>
      <c r="N6" s="18">
        <f>M6+20</f>
        <v>515</v>
      </c>
      <c r="O6" s="18">
        <v>535</v>
      </c>
      <c r="P6" s="18">
        <f>O6-10</f>
        <v>525</v>
      </c>
      <c r="Q6" s="18" t="s">
        <v>98</v>
      </c>
    </row>
    <row r="7" spans="2:18">
      <c r="B7" s="17" t="s">
        <v>64</v>
      </c>
      <c r="C7" s="18">
        <v>420</v>
      </c>
      <c r="D7" s="18">
        <v>440</v>
      </c>
      <c r="E7" s="18">
        <v>460</v>
      </c>
      <c r="F7" s="18">
        <f>E7+20</f>
        <v>480</v>
      </c>
      <c r="G7" s="18">
        <f>F7+20</f>
        <v>500</v>
      </c>
      <c r="H7" s="18">
        <v>460</v>
      </c>
      <c r="I7" s="18">
        <f>H7-10</f>
        <v>450</v>
      </c>
      <c r="J7" s="18">
        <f>I7-10</f>
        <v>440</v>
      </c>
      <c r="K7" s="18">
        <v>450</v>
      </c>
      <c r="L7" s="18">
        <f>K7+20</f>
        <v>470</v>
      </c>
      <c r="M7" s="18">
        <f>L7+10</f>
        <v>480</v>
      </c>
      <c r="N7" s="18">
        <f>M7+20</f>
        <v>500</v>
      </c>
      <c r="O7" s="18">
        <v>520</v>
      </c>
      <c r="P7" s="18">
        <f>O7-10</f>
        <v>510</v>
      </c>
      <c r="Q7" s="18" t="s">
        <v>64</v>
      </c>
    </row>
    <row r="8" spans="2:18">
      <c r="B8" s="17" t="s">
        <v>63</v>
      </c>
      <c r="C8" s="18">
        <v>435</v>
      </c>
      <c r="D8" s="18">
        <v>455</v>
      </c>
      <c r="E8" s="18">
        <v>475</v>
      </c>
      <c r="F8" s="18">
        <f>E8+20</f>
        <v>495</v>
      </c>
      <c r="G8" s="18">
        <f>F8+20</f>
        <v>515</v>
      </c>
      <c r="H8" s="18">
        <v>480</v>
      </c>
      <c r="I8" s="18">
        <f>H8-10</f>
        <v>470</v>
      </c>
      <c r="J8" s="18">
        <f>I8-10</f>
        <v>460</v>
      </c>
      <c r="K8" s="18">
        <v>470</v>
      </c>
      <c r="L8" s="18">
        <f>K8+20</f>
        <v>490</v>
      </c>
      <c r="M8" s="18">
        <f>L8+10</f>
        <v>500</v>
      </c>
      <c r="N8" s="18">
        <f>M8+20</f>
        <v>520</v>
      </c>
      <c r="O8" s="18">
        <v>540</v>
      </c>
      <c r="P8" s="18">
        <f>O8-10</f>
        <v>530</v>
      </c>
      <c r="Q8" s="18" t="s">
        <v>63</v>
      </c>
    </row>
    <row r="9" spans="2:18">
      <c r="B9" s="17" t="s">
        <v>71</v>
      </c>
      <c r="C9" s="18">
        <v>430</v>
      </c>
      <c r="D9" s="18">
        <v>450</v>
      </c>
      <c r="E9" s="18">
        <v>470</v>
      </c>
      <c r="F9" s="18">
        <f>E9+20</f>
        <v>490</v>
      </c>
      <c r="G9" s="18">
        <f>F9+20</f>
        <v>510</v>
      </c>
      <c r="H9" s="18">
        <v>470</v>
      </c>
      <c r="I9" s="18">
        <f>H9-10</f>
        <v>460</v>
      </c>
      <c r="J9" s="18">
        <f>I9-10</f>
        <v>450</v>
      </c>
      <c r="K9" s="18">
        <v>460</v>
      </c>
      <c r="L9" s="18">
        <f>K9+20</f>
        <v>480</v>
      </c>
      <c r="M9" s="18">
        <f>L9+10</f>
        <v>490</v>
      </c>
      <c r="N9" s="18">
        <f>M9+20</f>
        <v>510</v>
      </c>
      <c r="O9" s="18">
        <v>530</v>
      </c>
      <c r="P9" s="18">
        <f>O9-10</f>
        <v>520</v>
      </c>
      <c r="Q9" s="18" t="s">
        <v>71</v>
      </c>
    </row>
    <row r="10" spans="2:18">
      <c r="B10" s="17" t="s">
        <v>62</v>
      </c>
      <c r="C10" s="18">
        <v>420</v>
      </c>
      <c r="D10" s="18">
        <v>440</v>
      </c>
      <c r="E10" s="18">
        <v>460</v>
      </c>
      <c r="F10" s="18">
        <f>E10+20</f>
        <v>480</v>
      </c>
      <c r="G10" s="18">
        <f>F10+20</f>
        <v>500</v>
      </c>
      <c r="H10" s="18">
        <v>460</v>
      </c>
      <c r="I10" s="18">
        <f>H10-10</f>
        <v>450</v>
      </c>
      <c r="J10" s="18">
        <f>I10-10</f>
        <v>440</v>
      </c>
      <c r="K10" s="18">
        <v>450</v>
      </c>
      <c r="L10" s="18">
        <f>K10+20</f>
        <v>470</v>
      </c>
      <c r="M10" s="18">
        <f>L10+10</f>
        <v>480</v>
      </c>
      <c r="N10" s="18">
        <f>M10+20</f>
        <v>500</v>
      </c>
      <c r="O10" s="18">
        <v>520</v>
      </c>
      <c r="P10" s="18">
        <f>O10-10</f>
        <v>510</v>
      </c>
      <c r="Q10" s="18" t="s">
        <v>62</v>
      </c>
    </row>
    <row r="11" spans="2:18">
      <c r="B11" s="17" t="s">
        <v>60</v>
      </c>
      <c r="G11" s="21">
        <v>480</v>
      </c>
      <c r="H11" s="18">
        <v>460</v>
      </c>
      <c r="I11" s="18">
        <v>450</v>
      </c>
      <c r="J11" s="18">
        <v>440</v>
      </c>
      <c r="K11" s="18">
        <v>450</v>
      </c>
      <c r="L11" s="18">
        <f>K11+20</f>
        <v>470</v>
      </c>
      <c r="M11" s="18">
        <f>L11+10</f>
        <v>480</v>
      </c>
      <c r="N11" s="18">
        <f>M11+20</f>
        <v>500</v>
      </c>
      <c r="O11" s="18">
        <v>520</v>
      </c>
      <c r="P11" s="18">
        <f>O11-10</f>
        <v>510</v>
      </c>
      <c r="Q11" s="18" t="s">
        <v>99</v>
      </c>
    </row>
    <row r="12" spans="2:18">
      <c r="B12" s="17" t="s">
        <v>59</v>
      </c>
      <c r="C12" s="18">
        <v>440</v>
      </c>
      <c r="D12" s="18">
        <v>460</v>
      </c>
      <c r="E12" s="18">
        <v>480</v>
      </c>
      <c r="F12" s="18">
        <f>E12+20</f>
        <v>500</v>
      </c>
      <c r="G12" s="18">
        <f>F12+20</f>
        <v>520</v>
      </c>
      <c r="H12" s="18">
        <v>480</v>
      </c>
      <c r="I12" s="18">
        <f>H12-10</f>
        <v>470</v>
      </c>
      <c r="J12" s="18">
        <f>I12-10</f>
        <v>460</v>
      </c>
      <c r="K12" s="18">
        <v>470</v>
      </c>
      <c r="L12" s="18">
        <f>K12+20</f>
        <v>490</v>
      </c>
      <c r="M12" s="18">
        <f>L12+10</f>
        <v>500</v>
      </c>
      <c r="N12" s="18">
        <f>M12+20</f>
        <v>520</v>
      </c>
      <c r="O12" s="18">
        <v>540</v>
      </c>
      <c r="P12" s="18">
        <f>O12-10</f>
        <v>530</v>
      </c>
      <c r="Q12" s="18" t="s">
        <v>59</v>
      </c>
    </row>
    <row r="13" spans="2:18">
      <c r="B13" s="17" t="s">
        <v>100</v>
      </c>
      <c r="C13" s="18">
        <v>425</v>
      </c>
      <c r="D13" s="18">
        <v>445</v>
      </c>
      <c r="E13" s="18">
        <v>465</v>
      </c>
      <c r="F13" s="18">
        <f>E13+20</f>
        <v>485</v>
      </c>
      <c r="G13" s="18">
        <f>F13+20</f>
        <v>505</v>
      </c>
      <c r="H13" s="18">
        <v>465</v>
      </c>
      <c r="I13" s="18">
        <f>H13-10</f>
        <v>455</v>
      </c>
      <c r="J13" s="18">
        <f>I13-10</f>
        <v>445</v>
      </c>
      <c r="K13" s="18">
        <v>455</v>
      </c>
      <c r="L13" s="18">
        <f>K13+20</f>
        <v>475</v>
      </c>
      <c r="M13" s="18">
        <f>L13+10</f>
        <v>485</v>
      </c>
      <c r="N13" s="18">
        <f>M13+20</f>
        <v>505</v>
      </c>
      <c r="O13" s="18">
        <v>525</v>
      </c>
      <c r="P13" s="18">
        <f>O13-10</f>
        <v>515</v>
      </c>
      <c r="Q13" s="18" t="s">
        <v>100</v>
      </c>
    </row>
    <row r="14" spans="2:18">
      <c r="B14" s="17" t="s">
        <v>101</v>
      </c>
      <c r="C14" s="18">
        <v>435</v>
      </c>
      <c r="D14" s="18">
        <v>455</v>
      </c>
      <c r="E14" s="18">
        <v>475</v>
      </c>
      <c r="F14" s="18">
        <f>E14+20</f>
        <v>495</v>
      </c>
      <c r="G14" s="18">
        <f>F14+20</f>
        <v>515</v>
      </c>
      <c r="H14" s="18">
        <v>475</v>
      </c>
      <c r="I14" s="18">
        <f>H14-10</f>
        <v>465</v>
      </c>
      <c r="J14" s="18">
        <f>I14-10</f>
        <v>455</v>
      </c>
      <c r="K14" s="18">
        <v>465</v>
      </c>
      <c r="L14" s="18">
        <f>K14+20</f>
        <v>485</v>
      </c>
      <c r="M14" s="18">
        <f>L14+10</f>
        <v>495</v>
      </c>
      <c r="N14" s="18">
        <f>M14+20</f>
        <v>515</v>
      </c>
      <c r="O14" s="18">
        <v>535</v>
      </c>
      <c r="P14" s="18">
        <f>O14-10</f>
        <v>525</v>
      </c>
      <c r="Q14" s="18" t="s">
        <v>101</v>
      </c>
    </row>
    <row r="15" spans="2:18">
      <c r="B15" s="17" t="s">
        <v>102</v>
      </c>
      <c r="C15" s="18">
        <v>420</v>
      </c>
      <c r="D15" s="18">
        <v>440</v>
      </c>
      <c r="E15" s="18">
        <v>460</v>
      </c>
      <c r="F15" s="18">
        <f>E15+20</f>
        <v>480</v>
      </c>
      <c r="G15" s="18">
        <f>F15+20</f>
        <v>500</v>
      </c>
      <c r="H15" s="18">
        <v>460</v>
      </c>
      <c r="I15" s="18">
        <f>H15-10</f>
        <v>450</v>
      </c>
      <c r="J15" s="18">
        <f>I15-10</f>
        <v>440</v>
      </c>
      <c r="K15" s="18">
        <v>450</v>
      </c>
      <c r="L15" s="18">
        <f>K15+20</f>
        <v>470</v>
      </c>
      <c r="M15" s="18">
        <f>L15+10</f>
        <v>480</v>
      </c>
      <c r="N15" s="18">
        <f>M15+20</f>
        <v>500</v>
      </c>
      <c r="O15" s="18">
        <v>520</v>
      </c>
      <c r="P15" s="18">
        <f>O15-10</f>
        <v>510</v>
      </c>
      <c r="Q15" s="18" t="s">
        <v>102</v>
      </c>
    </row>
    <row r="16" spans="2:18">
      <c r="B16" s="22" t="s">
        <v>58</v>
      </c>
      <c r="C16" s="18">
        <v>430</v>
      </c>
      <c r="D16" s="18">
        <v>450</v>
      </c>
      <c r="E16" s="18">
        <v>470</v>
      </c>
      <c r="F16" s="18">
        <f>E16+20</f>
        <v>490</v>
      </c>
      <c r="G16" s="18">
        <f>F16+20</f>
        <v>510</v>
      </c>
      <c r="H16" s="18">
        <v>470</v>
      </c>
      <c r="I16" s="18">
        <f>H16-10</f>
        <v>460</v>
      </c>
      <c r="J16" s="18">
        <f>I16-10</f>
        <v>450</v>
      </c>
      <c r="K16" s="18">
        <v>460</v>
      </c>
      <c r="L16" s="18">
        <f>K16+20</f>
        <v>480</v>
      </c>
      <c r="M16" s="18">
        <f>L16+10</f>
        <v>490</v>
      </c>
      <c r="N16" s="18">
        <f>M16+20</f>
        <v>510</v>
      </c>
      <c r="O16" s="18">
        <v>530</v>
      </c>
      <c r="P16" s="18">
        <f>O16-10</f>
        <v>520</v>
      </c>
      <c r="Q16" s="18" t="s">
        <v>58</v>
      </c>
    </row>
    <row r="17" spans="2:19">
      <c r="B17" s="23" t="s">
        <v>57</v>
      </c>
      <c r="C17" s="18">
        <v>410</v>
      </c>
      <c r="D17" s="18">
        <v>430</v>
      </c>
      <c r="E17" s="18">
        <v>450</v>
      </c>
      <c r="F17" s="18">
        <f>E17+20</f>
        <v>470</v>
      </c>
      <c r="G17" s="18">
        <f>F17+20</f>
        <v>490</v>
      </c>
      <c r="H17" s="18">
        <v>450</v>
      </c>
      <c r="I17" s="18">
        <f>H17-10</f>
        <v>440</v>
      </c>
      <c r="J17" s="18">
        <f>I17-10</f>
        <v>430</v>
      </c>
      <c r="K17" s="24">
        <v>440</v>
      </c>
      <c r="L17" s="24">
        <f>K17+20</f>
        <v>460</v>
      </c>
      <c r="M17" s="18">
        <f>L17+10</f>
        <v>470</v>
      </c>
      <c r="N17" s="18">
        <f>M17+20</f>
        <v>490</v>
      </c>
      <c r="O17" s="18">
        <v>510</v>
      </c>
      <c r="P17" s="18">
        <f>O17-10</f>
        <v>500</v>
      </c>
      <c r="Q17" s="25" t="s">
        <v>57</v>
      </c>
      <c r="R17" s="26"/>
      <c r="S17" s="26"/>
    </row>
    <row r="18" spans="2:19">
      <c r="B18" s="22" t="s">
        <v>103</v>
      </c>
      <c r="C18" s="18">
        <v>435</v>
      </c>
      <c r="D18" s="18">
        <v>455</v>
      </c>
      <c r="E18" s="18">
        <v>475</v>
      </c>
      <c r="F18" s="18">
        <f>E18+20</f>
        <v>495</v>
      </c>
      <c r="G18" s="18">
        <f>F18+20</f>
        <v>515</v>
      </c>
      <c r="H18" s="18">
        <v>475</v>
      </c>
      <c r="I18" s="18">
        <f>H18-10</f>
        <v>465</v>
      </c>
      <c r="J18" s="18">
        <f>I18-10</f>
        <v>455</v>
      </c>
      <c r="K18" s="18">
        <v>470</v>
      </c>
      <c r="L18" s="18">
        <f>K18+20</f>
        <v>490</v>
      </c>
      <c r="M18" s="18">
        <f>L18+10</f>
        <v>500</v>
      </c>
      <c r="N18" s="18">
        <v>515</v>
      </c>
      <c r="O18" s="18">
        <v>535</v>
      </c>
      <c r="P18" s="18">
        <f>O18-10</f>
        <v>525</v>
      </c>
      <c r="Q18" s="18" t="s">
        <v>103</v>
      </c>
      <c r="R18" s="26"/>
      <c r="S18" s="26"/>
    </row>
    <row r="19" spans="2:19">
      <c r="B19" s="17" t="s">
        <v>70</v>
      </c>
      <c r="C19" s="18">
        <v>440</v>
      </c>
      <c r="D19" s="18">
        <v>460</v>
      </c>
      <c r="E19" s="18">
        <v>480</v>
      </c>
      <c r="F19" s="18">
        <f>E19+20</f>
        <v>500</v>
      </c>
      <c r="G19" s="18">
        <f>F19+20</f>
        <v>520</v>
      </c>
      <c r="H19" s="18">
        <v>490</v>
      </c>
      <c r="I19" s="18">
        <f>H19-10</f>
        <v>480</v>
      </c>
      <c r="J19" s="18">
        <f>I19-10</f>
        <v>470</v>
      </c>
      <c r="K19" s="18">
        <v>480</v>
      </c>
      <c r="L19" s="18">
        <f>K19+20</f>
        <v>500</v>
      </c>
      <c r="M19" s="18">
        <f>L19+10</f>
        <v>510</v>
      </c>
      <c r="N19" s="18">
        <f>M19+20</f>
        <v>530</v>
      </c>
      <c r="O19" s="18">
        <v>540</v>
      </c>
      <c r="P19" s="18">
        <f>O19-10</f>
        <v>530</v>
      </c>
      <c r="Q19" s="18" t="s">
        <v>70</v>
      </c>
      <c r="R19" s="26"/>
      <c r="S19" s="26"/>
    </row>
    <row r="20" spans="2:19">
      <c r="B20" s="17" t="s">
        <v>56</v>
      </c>
      <c r="C20" s="18">
        <v>430</v>
      </c>
      <c r="D20" s="18">
        <v>450</v>
      </c>
      <c r="E20" s="18">
        <v>470</v>
      </c>
      <c r="F20" s="18">
        <f>E20+20</f>
        <v>490</v>
      </c>
      <c r="G20" s="18">
        <f>F20+20</f>
        <v>510</v>
      </c>
      <c r="H20" s="18">
        <v>475</v>
      </c>
      <c r="I20" s="18">
        <f>H20-10</f>
        <v>465</v>
      </c>
      <c r="J20" s="18">
        <f>I20-10</f>
        <v>455</v>
      </c>
      <c r="K20" s="18">
        <v>465</v>
      </c>
      <c r="L20" s="18">
        <f>K20+20</f>
        <v>485</v>
      </c>
      <c r="M20" s="18">
        <f>L20+10</f>
        <v>495</v>
      </c>
      <c r="N20" s="18">
        <f>M20+20</f>
        <v>515</v>
      </c>
      <c r="O20" s="18">
        <v>535</v>
      </c>
      <c r="P20" s="18">
        <f>O20-10</f>
        <v>525</v>
      </c>
      <c r="Q20" s="18" t="s">
        <v>56</v>
      </c>
      <c r="R20" s="26"/>
      <c r="S20" s="26"/>
    </row>
    <row r="21" spans="2:19">
      <c r="B21" s="17" t="s">
        <v>104</v>
      </c>
      <c r="C21" s="18">
        <v>430</v>
      </c>
      <c r="D21" s="18">
        <v>450</v>
      </c>
      <c r="E21" s="18">
        <v>470</v>
      </c>
      <c r="F21" s="18">
        <f>E21+20</f>
        <v>490</v>
      </c>
      <c r="G21" s="18">
        <f>F21+20</f>
        <v>510</v>
      </c>
      <c r="H21" s="18">
        <v>485</v>
      </c>
      <c r="I21" s="18">
        <f>H21-10</f>
        <v>475</v>
      </c>
      <c r="J21" s="18">
        <f>I21-10</f>
        <v>465</v>
      </c>
      <c r="K21" s="18">
        <v>475</v>
      </c>
      <c r="L21" s="18">
        <f>K21+20</f>
        <v>495</v>
      </c>
      <c r="M21" s="18">
        <f>L21+10</f>
        <v>505</v>
      </c>
      <c r="N21" s="18">
        <f>M21+20</f>
        <v>525</v>
      </c>
      <c r="O21" s="18">
        <v>545</v>
      </c>
      <c r="P21" s="18">
        <f>O21-10</f>
        <v>535</v>
      </c>
      <c r="Q21" s="18" t="s">
        <v>104</v>
      </c>
      <c r="R21" s="26"/>
      <c r="S21" s="26"/>
    </row>
    <row r="22" spans="2:19">
      <c r="B22" s="17" t="s">
        <v>105</v>
      </c>
      <c r="C22" s="18">
        <v>160</v>
      </c>
      <c r="D22" s="18">
        <v>160</v>
      </c>
      <c r="E22" s="18">
        <v>460</v>
      </c>
      <c r="F22" s="18">
        <f>E22+20</f>
        <v>480</v>
      </c>
      <c r="G22" s="18">
        <f>F22+20</f>
        <v>500</v>
      </c>
      <c r="H22" s="18">
        <v>490</v>
      </c>
      <c r="I22" s="18">
        <f>H22-10</f>
        <v>480</v>
      </c>
      <c r="J22" s="18">
        <f>I22-10</f>
        <v>470</v>
      </c>
      <c r="K22" s="18">
        <v>480</v>
      </c>
      <c r="L22" s="18">
        <f>K22+20</f>
        <v>500</v>
      </c>
      <c r="M22" s="18">
        <f>L22+10</f>
        <v>510</v>
      </c>
      <c r="N22" s="18">
        <f>M22+20</f>
        <v>530</v>
      </c>
      <c r="O22" s="18">
        <v>550</v>
      </c>
      <c r="P22" s="18">
        <f>O22-10</f>
        <v>540</v>
      </c>
      <c r="Q22" s="18" t="s">
        <v>105</v>
      </c>
      <c r="R22" s="26"/>
      <c r="S22" s="26"/>
    </row>
    <row r="23" spans="2:19">
      <c r="B23" s="17" t="s">
        <v>106</v>
      </c>
      <c r="C23" s="18">
        <v>420</v>
      </c>
      <c r="D23" s="18">
        <v>440</v>
      </c>
      <c r="E23" s="18">
        <v>460</v>
      </c>
      <c r="F23" s="18">
        <f>E23+20</f>
        <v>480</v>
      </c>
      <c r="G23" s="21">
        <v>480</v>
      </c>
      <c r="H23" s="18">
        <v>460</v>
      </c>
      <c r="I23" s="18">
        <f>H23-10</f>
        <v>450</v>
      </c>
      <c r="J23" s="18">
        <f>I23-10</f>
        <v>440</v>
      </c>
      <c r="P23" s="18">
        <f>O23-10</f>
        <v>-10</v>
      </c>
      <c r="R23" s="26"/>
      <c r="S23" s="26"/>
    </row>
    <row r="24" spans="2:19">
      <c r="B24" s="17" t="s">
        <v>55</v>
      </c>
      <c r="C24" s="18">
        <v>430</v>
      </c>
      <c r="D24" s="18">
        <v>450</v>
      </c>
      <c r="E24" s="18">
        <v>470</v>
      </c>
      <c r="F24" s="18">
        <f>E24+20</f>
        <v>490</v>
      </c>
      <c r="G24" s="18">
        <f>F24+20</f>
        <v>510</v>
      </c>
      <c r="H24" s="18">
        <v>485</v>
      </c>
      <c r="I24" s="18">
        <f>H24-10</f>
        <v>475</v>
      </c>
      <c r="J24" s="18">
        <v>460</v>
      </c>
      <c r="K24" s="18">
        <v>470</v>
      </c>
      <c r="L24" s="18">
        <f>K24+20</f>
        <v>490</v>
      </c>
      <c r="M24" s="18">
        <f>L24+10</f>
        <v>500</v>
      </c>
      <c r="N24" s="18">
        <f>M24+20</f>
        <v>520</v>
      </c>
      <c r="O24" s="18">
        <f>N24+20</f>
        <v>540</v>
      </c>
      <c r="P24" s="18">
        <f>O24-10</f>
        <v>530</v>
      </c>
      <c r="Q24" s="18" t="s">
        <v>55</v>
      </c>
      <c r="R24" s="26"/>
      <c r="S24" s="26"/>
    </row>
    <row r="25" spans="2:19">
      <c r="B25" s="23" t="s">
        <v>107</v>
      </c>
      <c r="C25" s="18">
        <v>410</v>
      </c>
      <c r="D25" s="18">
        <v>430</v>
      </c>
      <c r="E25" s="18">
        <v>450</v>
      </c>
      <c r="F25" s="18">
        <f>E25+20</f>
        <v>470</v>
      </c>
      <c r="G25" s="18">
        <f>F25+20</f>
        <v>490</v>
      </c>
      <c r="H25" s="18">
        <v>450</v>
      </c>
      <c r="I25" s="18">
        <f>H25-10</f>
        <v>440</v>
      </c>
      <c r="J25" s="18">
        <f>I25-10</f>
        <v>430</v>
      </c>
      <c r="K25" s="25">
        <v>440</v>
      </c>
      <c r="L25" s="24">
        <f>K25+20</f>
        <v>460</v>
      </c>
      <c r="M25" s="18">
        <f>L25+10</f>
        <v>470</v>
      </c>
      <c r="N25" s="18">
        <f>M25+20</f>
        <v>490</v>
      </c>
      <c r="O25" s="18">
        <f>N25+20</f>
        <v>510</v>
      </c>
      <c r="P25" s="18">
        <f>O25-10</f>
        <v>500</v>
      </c>
      <c r="Q25" s="25" t="s">
        <v>107</v>
      </c>
      <c r="R25" s="26"/>
      <c r="S25" s="26"/>
    </row>
    <row r="26" spans="2:19">
      <c r="B26" s="17" t="s">
        <v>108</v>
      </c>
      <c r="C26" s="18">
        <v>440</v>
      </c>
      <c r="D26" s="18">
        <v>460</v>
      </c>
      <c r="E26" s="18">
        <v>480</v>
      </c>
      <c r="F26" s="18">
        <f>E26+20</f>
        <v>500</v>
      </c>
      <c r="G26" s="18">
        <f>F26+20</f>
        <v>520</v>
      </c>
      <c r="H26" s="18">
        <v>480</v>
      </c>
      <c r="I26" s="18">
        <f>H26-10</f>
        <v>470</v>
      </c>
      <c r="J26" s="18">
        <f>I26-10</f>
        <v>460</v>
      </c>
      <c r="K26" s="18">
        <v>470</v>
      </c>
      <c r="L26" s="18">
        <f>K26+20</f>
        <v>490</v>
      </c>
      <c r="M26" s="18">
        <f>L26+10</f>
        <v>500</v>
      </c>
      <c r="N26" s="18">
        <f>M26+20</f>
        <v>520</v>
      </c>
      <c r="O26" s="18">
        <f>N26+20</f>
        <v>540</v>
      </c>
      <c r="P26" s="18">
        <f>O26-10</f>
        <v>530</v>
      </c>
      <c r="Q26" s="18" t="s">
        <v>108</v>
      </c>
      <c r="R26" s="26"/>
      <c r="S26" s="26"/>
    </row>
    <row r="27" spans="2:19">
      <c r="B27" s="17" t="s">
        <v>109</v>
      </c>
      <c r="C27" s="18">
        <v>430</v>
      </c>
      <c r="D27" s="18">
        <v>450</v>
      </c>
      <c r="E27" s="18">
        <v>470</v>
      </c>
      <c r="F27" s="18">
        <f>E27+20</f>
        <v>490</v>
      </c>
      <c r="G27" s="18">
        <f>F27+20</f>
        <v>510</v>
      </c>
      <c r="H27" s="18">
        <v>470</v>
      </c>
      <c r="I27" s="18">
        <f>H27-10</f>
        <v>460</v>
      </c>
      <c r="J27" s="18">
        <f>I27-10</f>
        <v>450</v>
      </c>
      <c r="K27" s="18">
        <v>470</v>
      </c>
      <c r="L27" s="18">
        <f>K27+20</f>
        <v>490</v>
      </c>
      <c r="M27" s="18">
        <f>L27+10</f>
        <v>500</v>
      </c>
      <c r="N27" s="18">
        <f>M27+20</f>
        <v>520</v>
      </c>
      <c r="O27" s="18">
        <f>N27+20</f>
        <v>540</v>
      </c>
      <c r="P27" s="18">
        <f>O27-10</f>
        <v>530</v>
      </c>
      <c r="Q27" s="18" t="s">
        <v>109</v>
      </c>
    </row>
    <row r="28" spans="2:19">
      <c r="B28" s="17" t="s">
        <v>53</v>
      </c>
      <c r="C28" s="18">
        <v>430</v>
      </c>
      <c r="D28" s="18">
        <v>450</v>
      </c>
      <c r="E28" s="18">
        <v>470</v>
      </c>
      <c r="F28" s="18">
        <f>E28+20</f>
        <v>490</v>
      </c>
      <c r="G28" s="18">
        <f>F28+20</f>
        <v>510</v>
      </c>
      <c r="H28" s="18">
        <v>470</v>
      </c>
      <c r="I28" s="18">
        <f>H28-10</f>
        <v>460</v>
      </c>
      <c r="J28" s="18">
        <f>I28-10</f>
        <v>450</v>
      </c>
      <c r="K28" s="18">
        <v>460</v>
      </c>
      <c r="L28" s="18">
        <f>K28+20</f>
        <v>480</v>
      </c>
      <c r="M28" s="18">
        <f>L28+10</f>
        <v>490</v>
      </c>
      <c r="N28" s="18">
        <f>M28+20</f>
        <v>510</v>
      </c>
      <c r="O28" s="18">
        <f>N28+20</f>
        <v>530</v>
      </c>
      <c r="P28" s="18">
        <f>O28-10</f>
        <v>520</v>
      </c>
      <c r="Q28" s="18" t="s">
        <v>53</v>
      </c>
    </row>
    <row r="29" spans="2:19">
      <c r="B29" s="17" t="s">
        <v>52</v>
      </c>
      <c r="C29" s="18">
        <v>435</v>
      </c>
      <c r="D29" s="18">
        <v>455</v>
      </c>
      <c r="E29" s="18">
        <v>475</v>
      </c>
      <c r="F29" s="18">
        <f>E29+20</f>
        <v>495</v>
      </c>
      <c r="G29" s="18">
        <f>F29+20</f>
        <v>515</v>
      </c>
      <c r="H29" s="18">
        <v>475</v>
      </c>
      <c r="I29" s="18">
        <f>H29-10</f>
        <v>465</v>
      </c>
      <c r="J29" s="18">
        <f>I29-10</f>
        <v>455</v>
      </c>
      <c r="K29" s="18">
        <v>465</v>
      </c>
      <c r="L29" s="18">
        <f>K29+20</f>
        <v>485</v>
      </c>
      <c r="M29" s="18">
        <f>L29+10</f>
        <v>495</v>
      </c>
      <c r="N29" s="18">
        <f>M29+20</f>
        <v>515</v>
      </c>
      <c r="O29" s="18">
        <f>N29+20</f>
        <v>535</v>
      </c>
      <c r="P29" s="18">
        <f>O29-10</f>
        <v>525</v>
      </c>
      <c r="Q29" s="18" t="s">
        <v>52</v>
      </c>
    </row>
    <row r="30" spans="2:19">
      <c r="B30" s="17" t="s">
        <v>110</v>
      </c>
      <c r="C30" s="18">
        <v>420</v>
      </c>
      <c r="D30" s="18">
        <v>440</v>
      </c>
      <c r="E30" s="18">
        <v>460</v>
      </c>
      <c r="F30" s="18">
        <f>E30+20</f>
        <v>480</v>
      </c>
      <c r="G30" s="18">
        <f>F30+20</f>
        <v>500</v>
      </c>
      <c r="H30" s="18">
        <v>460</v>
      </c>
      <c r="I30" s="18">
        <f>H30-10</f>
        <v>450</v>
      </c>
      <c r="J30" s="18">
        <f>I30-10</f>
        <v>440</v>
      </c>
      <c r="N30" s="18">
        <f>M30+20</f>
        <v>20</v>
      </c>
      <c r="Q30" s="18" t="s">
        <v>110</v>
      </c>
    </row>
    <row r="31" spans="2:19">
      <c r="B31" s="17" t="s">
        <v>111</v>
      </c>
      <c r="C31" s="18">
        <v>425</v>
      </c>
      <c r="D31" s="18">
        <v>445</v>
      </c>
      <c r="E31" s="18">
        <v>465</v>
      </c>
      <c r="F31" s="18">
        <f>E31+20</f>
        <v>485</v>
      </c>
      <c r="G31" s="18">
        <f>F31+20</f>
        <v>505</v>
      </c>
      <c r="H31" s="18">
        <v>465</v>
      </c>
      <c r="I31" s="18">
        <f>H31-10</f>
        <v>455</v>
      </c>
      <c r="J31" s="18">
        <f>I31-10</f>
        <v>445</v>
      </c>
      <c r="K31" s="18">
        <v>455</v>
      </c>
      <c r="L31" s="18">
        <f>K31+20</f>
        <v>475</v>
      </c>
      <c r="M31" s="18">
        <f>L31+10</f>
        <v>485</v>
      </c>
      <c r="N31" s="18">
        <f>M31+20</f>
        <v>505</v>
      </c>
      <c r="O31" s="18">
        <f>N31+20</f>
        <v>525</v>
      </c>
      <c r="P31" s="18">
        <f>O31-10</f>
        <v>515</v>
      </c>
      <c r="Q31" s="18" t="s">
        <v>111</v>
      </c>
    </row>
    <row r="32" spans="2:19">
      <c r="B32" s="17" t="s">
        <v>51</v>
      </c>
      <c r="C32" s="18">
        <v>425</v>
      </c>
      <c r="D32" s="18">
        <v>445</v>
      </c>
      <c r="E32" s="18">
        <v>465</v>
      </c>
      <c r="F32" s="18">
        <f>E32+20</f>
        <v>485</v>
      </c>
      <c r="G32" s="18">
        <f>F32+20</f>
        <v>505</v>
      </c>
      <c r="H32" s="18">
        <v>465</v>
      </c>
      <c r="I32" s="18">
        <f>H32-10</f>
        <v>455</v>
      </c>
      <c r="J32" s="18">
        <f>I32-10</f>
        <v>445</v>
      </c>
      <c r="K32" s="18">
        <v>455</v>
      </c>
      <c r="L32" s="18">
        <f>K32+20</f>
        <v>475</v>
      </c>
      <c r="M32" s="18">
        <f>L32+10</f>
        <v>485</v>
      </c>
      <c r="N32" s="18">
        <f>M32+20</f>
        <v>505</v>
      </c>
      <c r="O32" s="18">
        <f>N32+20</f>
        <v>525</v>
      </c>
      <c r="P32" s="18">
        <f>O32-10</f>
        <v>515</v>
      </c>
      <c r="Q32" s="18" t="s">
        <v>112</v>
      </c>
    </row>
    <row r="33" spans="2:17">
      <c r="B33" s="23" t="s">
        <v>50</v>
      </c>
      <c r="C33" s="18">
        <v>410</v>
      </c>
      <c r="D33" s="18">
        <v>430</v>
      </c>
      <c r="E33" s="18">
        <v>450</v>
      </c>
      <c r="F33" s="18">
        <f>E33+20</f>
        <v>470</v>
      </c>
      <c r="G33" s="18">
        <f>F33+20</f>
        <v>490</v>
      </c>
      <c r="H33" s="18">
        <v>450</v>
      </c>
      <c r="I33" s="18">
        <f>H33-10</f>
        <v>440</v>
      </c>
      <c r="J33" s="18">
        <f>I33-10</f>
        <v>430</v>
      </c>
      <c r="K33" s="25">
        <v>440</v>
      </c>
      <c r="L33" s="24">
        <f>K33+20</f>
        <v>460</v>
      </c>
      <c r="M33" s="18">
        <f>L33+10</f>
        <v>470</v>
      </c>
      <c r="N33" s="18">
        <f>M33+20</f>
        <v>490</v>
      </c>
      <c r="O33" s="18">
        <f>N33+20</f>
        <v>510</v>
      </c>
      <c r="P33" s="18">
        <f>O33-10</f>
        <v>500</v>
      </c>
      <c r="Q33" s="25" t="s">
        <v>50</v>
      </c>
    </row>
    <row r="34" spans="2:17">
      <c r="B34" s="17" t="s">
        <v>113</v>
      </c>
      <c r="J34" s="18">
        <v>440</v>
      </c>
      <c r="K34" s="18">
        <v>475</v>
      </c>
      <c r="L34" s="18">
        <f>K34+20</f>
        <v>495</v>
      </c>
      <c r="M34" s="18">
        <f>L34+10</f>
        <v>505</v>
      </c>
      <c r="N34" s="18">
        <f>M34+20</f>
        <v>525</v>
      </c>
      <c r="O34" s="18">
        <f>N34+20</f>
        <v>545</v>
      </c>
      <c r="P34" s="18">
        <f>O34-10</f>
        <v>535</v>
      </c>
      <c r="Q34" s="18" t="s">
        <v>113</v>
      </c>
    </row>
    <row r="35" spans="2:17">
      <c r="B35" s="17" t="s">
        <v>48</v>
      </c>
      <c r="G35" s="18">
        <v>480</v>
      </c>
      <c r="I35" s="18">
        <v>450</v>
      </c>
      <c r="J35" s="18">
        <f>I35-10</f>
        <v>440</v>
      </c>
      <c r="K35" s="18">
        <v>450</v>
      </c>
      <c r="L35" s="18">
        <f>K35+20</f>
        <v>470</v>
      </c>
      <c r="M35" s="18">
        <f>L35+10</f>
        <v>480</v>
      </c>
      <c r="N35" s="18">
        <f>M35+20</f>
        <v>500</v>
      </c>
      <c r="O35" s="18">
        <f>N35+20</f>
        <v>520</v>
      </c>
      <c r="P35" s="18">
        <f>O35-10</f>
        <v>510</v>
      </c>
      <c r="Q35" s="18" t="s">
        <v>48</v>
      </c>
    </row>
    <row r="36" spans="2:17">
      <c r="B36" s="17" t="s">
        <v>49</v>
      </c>
      <c r="C36" s="18">
        <v>445</v>
      </c>
      <c r="D36" s="27">
        <v>455</v>
      </c>
      <c r="E36" s="18">
        <v>475</v>
      </c>
      <c r="F36" s="18">
        <v>495</v>
      </c>
      <c r="G36" s="18">
        <f>F36+20</f>
        <v>515</v>
      </c>
      <c r="H36" s="18">
        <v>475</v>
      </c>
      <c r="I36" s="18">
        <f>H36-10</f>
        <v>465</v>
      </c>
      <c r="J36" s="18">
        <f>I36-10</f>
        <v>455</v>
      </c>
      <c r="K36" s="18">
        <v>465</v>
      </c>
      <c r="L36" s="18">
        <f>K36+20</f>
        <v>485</v>
      </c>
      <c r="M36" s="18">
        <f>L36+10</f>
        <v>495</v>
      </c>
      <c r="N36" s="18">
        <f>M36+20</f>
        <v>515</v>
      </c>
      <c r="O36" s="18">
        <f>N36+20</f>
        <v>535</v>
      </c>
      <c r="P36" s="18">
        <f>O36-10</f>
        <v>525</v>
      </c>
      <c r="Q36" s="18" t="s">
        <v>49</v>
      </c>
    </row>
    <row r="37" spans="2:17">
      <c r="B37" s="17" t="s">
        <v>47</v>
      </c>
      <c r="K37" s="18">
        <v>470</v>
      </c>
      <c r="L37" s="18">
        <f>K37+20</f>
        <v>490</v>
      </c>
      <c r="M37" s="18">
        <f>L37+10</f>
        <v>500</v>
      </c>
      <c r="N37" s="18">
        <v>530</v>
      </c>
      <c r="O37" s="18">
        <f>N37+20</f>
        <v>550</v>
      </c>
      <c r="P37" s="18">
        <f>O37-10</f>
        <v>540</v>
      </c>
      <c r="Q37" s="18" t="s">
        <v>47</v>
      </c>
    </row>
    <row r="38" spans="2:17">
      <c r="B38" s="17" t="s">
        <v>46</v>
      </c>
      <c r="C38" s="18">
        <v>430</v>
      </c>
      <c r="D38" s="18">
        <v>450</v>
      </c>
      <c r="E38" s="18">
        <v>470</v>
      </c>
      <c r="F38" s="18">
        <f>E38+20</f>
        <v>490</v>
      </c>
      <c r="G38" s="18">
        <f>F38+20</f>
        <v>510</v>
      </c>
      <c r="H38" s="18">
        <v>470</v>
      </c>
      <c r="I38" s="18">
        <f>H38-10</f>
        <v>460</v>
      </c>
      <c r="J38" s="18">
        <f>I38-10</f>
        <v>450</v>
      </c>
      <c r="K38" s="18">
        <v>460</v>
      </c>
      <c r="L38" s="18">
        <f>K38+20</f>
        <v>480</v>
      </c>
      <c r="M38" s="18">
        <f>L38+10</f>
        <v>490</v>
      </c>
      <c r="N38" s="18">
        <f>M38+20</f>
        <v>510</v>
      </c>
      <c r="O38" s="18">
        <f>N38+20</f>
        <v>530</v>
      </c>
      <c r="P38" s="18">
        <f>O38-10</f>
        <v>520</v>
      </c>
      <c r="Q38" s="18" t="s">
        <v>46</v>
      </c>
    </row>
    <row r="39" spans="2:17">
      <c r="B39" s="17" t="s">
        <v>114</v>
      </c>
      <c r="C39" s="18">
        <v>440</v>
      </c>
      <c r="D39" s="18">
        <v>460</v>
      </c>
      <c r="E39" s="18">
        <v>480</v>
      </c>
      <c r="F39" s="18">
        <f>E39+20</f>
        <v>500</v>
      </c>
      <c r="G39" s="18">
        <f>F39+20</f>
        <v>520</v>
      </c>
      <c r="H39" s="18">
        <v>480</v>
      </c>
      <c r="I39" s="18">
        <f>H39-10</f>
        <v>470</v>
      </c>
      <c r="J39" s="18">
        <f>I39-10</f>
        <v>460</v>
      </c>
      <c r="K39" s="18">
        <v>470</v>
      </c>
      <c r="L39" s="18">
        <f>K39+20</f>
        <v>490</v>
      </c>
      <c r="M39" s="18">
        <f>L39+10</f>
        <v>500</v>
      </c>
      <c r="N39" s="18">
        <f>M39+20</f>
        <v>520</v>
      </c>
      <c r="O39" s="18">
        <f>N39+20</f>
        <v>540</v>
      </c>
      <c r="P39" s="18">
        <f>O39-10</f>
        <v>530</v>
      </c>
      <c r="Q39" s="18" t="s">
        <v>114</v>
      </c>
    </row>
    <row r="40" spans="2:17">
      <c r="B40" s="17" t="s">
        <v>45</v>
      </c>
      <c r="C40" s="18">
        <v>430</v>
      </c>
      <c r="D40" s="18">
        <v>450</v>
      </c>
      <c r="E40" s="18">
        <v>470</v>
      </c>
      <c r="F40" s="18">
        <f>E40+20</f>
        <v>490</v>
      </c>
      <c r="G40" s="18">
        <f>F40+20</f>
        <v>510</v>
      </c>
      <c r="H40" s="18">
        <v>470</v>
      </c>
      <c r="I40" s="18">
        <f>H40-10</f>
        <v>460</v>
      </c>
      <c r="J40" s="18">
        <f>I40-10</f>
        <v>450</v>
      </c>
      <c r="K40" s="18">
        <v>460</v>
      </c>
      <c r="L40" s="18">
        <f>K40+20</f>
        <v>480</v>
      </c>
      <c r="M40" s="18">
        <f>L40+10</f>
        <v>490</v>
      </c>
      <c r="N40" s="18">
        <f>M40+20</f>
        <v>510</v>
      </c>
      <c r="O40" s="18">
        <f>N40+20</f>
        <v>530</v>
      </c>
      <c r="P40" s="18">
        <f>O40-10</f>
        <v>520</v>
      </c>
      <c r="Q40" s="18" t="s">
        <v>45</v>
      </c>
    </row>
    <row r="41" spans="2:17">
      <c r="B41" s="17" t="s">
        <v>44</v>
      </c>
      <c r="C41" s="18">
        <v>430</v>
      </c>
      <c r="D41" s="18">
        <v>450</v>
      </c>
      <c r="E41" s="18">
        <v>470</v>
      </c>
      <c r="F41" s="18">
        <f>E41+20</f>
        <v>490</v>
      </c>
      <c r="G41" s="18">
        <f>F41+20</f>
        <v>510</v>
      </c>
      <c r="H41" s="18">
        <v>480</v>
      </c>
      <c r="I41" s="18">
        <f>H41-10</f>
        <v>470</v>
      </c>
      <c r="J41" s="18">
        <f>I41-10</f>
        <v>460</v>
      </c>
      <c r="K41" s="18">
        <v>470</v>
      </c>
      <c r="L41" s="18">
        <f>K41+20</f>
        <v>490</v>
      </c>
      <c r="M41" s="18">
        <f>L41+10</f>
        <v>500</v>
      </c>
      <c r="N41" s="18">
        <f>M41+20</f>
        <v>520</v>
      </c>
      <c r="O41" s="18">
        <f>N41+20</f>
        <v>540</v>
      </c>
      <c r="P41" s="18">
        <f>O41-10</f>
        <v>530</v>
      </c>
      <c r="Q41" s="18" t="s">
        <v>44</v>
      </c>
    </row>
    <row r="42" spans="2:17">
      <c r="M42" s="18">
        <v>480</v>
      </c>
      <c r="N42" s="18">
        <f>M42+20</f>
        <v>500</v>
      </c>
      <c r="O42" s="18">
        <f>N42+20</f>
        <v>520</v>
      </c>
      <c r="P42" s="18">
        <f>O42-10</f>
        <v>510</v>
      </c>
      <c r="Q42" s="18" t="s">
        <v>43</v>
      </c>
    </row>
    <row r="43" spans="2:17">
      <c r="B43" s="17" t="s">
        <v>115</v>
      </c>
      <c r="C43" s="18">
        <v>435</v>
      </c>
      <c r="D43" s="18">
        <v>455</v>
      </c>
      <c r="E43" s="18">
        <v>475</v>
      </c>
      <c r="F43" s="18">
        <f>E43+20</f>
        <v>495</v>
      </c>
      <c r="G43" s="18">
        <f>F43+20</f>
        <v>515</v>
      </c>
      <c r="H43" s="18">
        <v>485</v>
      </c>
      <c r="I43" s="18">
        <f>H43-10</f>
        <v>475</v>
      </c>
      <c r="J43" s="18">
        <v>455</v>
      </c>
      <c r="K43" s="18">
        <v>465</v>
      </c>
      <c r="L43" s="18">
        <f>K43+20</f>
        <v>485</v>
      </c>
      <c r="M43" s="18">
        <f>L43+10</f>
        <v>495</v>
      </c>
      <c r="N43" s="18">
        <f>M43+20</f>
        <v>515</v>
      </c>
      <c r="O43" s="18">
        <f>N43+20</f>
        <v>535</v>
      </c>
      <c r="P43" s="18">
        <f>O43-10</f>
        <v>525</v>
      </c>
      <c r="Q43" s="18" t="s">
        <v>115</v>
      </c>
    </row>
    <row r="44" spans="2:17">
      <c r="B44" s="23" t="s">
        <v>42</v>
      </c>
      <c r="C44" s="18">
        <v>410</v>
      </c>
      <c r="D44" s="18">
        <v>430</v>
      </c>
      <c r="E44" s="18">
        <v>450</v>
      </c>
      <c r="F44" s="18">
        <f>E44+20</f>
        <v>470</v>
      </c>
      <c r="G44" s="18">
        <f>F44+20</f>
        <v>490</v>
      </c>
      <c r="H44" s="18">
        <v>450</v>
      </c>
      <c r="I44" s="18">
        <f>H44-10</f>
        <v>440</v>
      </c>
      <c r="J44" s="18">
        <f>I44-10</f>
        <v>430</v>
      </c>
      <c r="K44" s="25">
        <v>440</v>
      </c>
      <c r="L44" s="24">
        <f>K44+20</f>
        <v>460</v>
      </c>
      <c r="M44" s="18">
        <f>L44+10</f>
        <v>470</v>
      </c>
      <c r="N44" s="18">
        <f>M44+20</f>
        <v>490</v>
      </c>
      <c r="O44" s="18">
        <f>N44+20</f>
        <v>510</v>
      </c>
      <c r="P44" s="18">
        <f>O44-10</f>
        <v>500</v>
      </c>
      <c r="Q44" s="25" t="s">
        <v>42</v>
      </c>
    </row>
    <row r="45" spans="2:17">
      <c r="B45" s="23" t="s">
        <v>41</v>
      </c>
      <c r="C45" s="18">
        <v>410</v>
      </c>
      <c r="D45" s="18">
        <v>430</v>
      </c>
      <c r="E45" s="18">
        <v>450</v>
      </c>
      <c r="F45" s="18">
        <f>E45+20</f>
        <v>470</v>
      </c>
      <c r="G45" s="18">
        <f>F45+20</f>
        <v>490</v>
      </c>
      <c r="H45" s="18">
        <v>450</v>
      </c>
      <c r="I45" s="18">
        <f>H45-10</f>
        <v>440</v>
      </c>
      <c r="J45" s="18">
        <f>I45-10</f>
        <v>430</v>
      </c>
      <c r="K45" s="25">
        <v>440</v>
      </c>
      <c r="L45" s="24">
        <f>K45+20</f>
        <v>460</v>
      </c>
      <c r="M45" s="18">
        <f>L45+10</f>
        <v>470</v>
      </c>
      <c r="N45" s="18">
        <f>M45+20</f>
        <v>490</v>
      </c>
      <c r="O45" s="18">
        <f>N45+20</f>
        <v>510</v>
      </c>
      <c r="P45" s="18">
        <f>O45-10</f>
        <v>500</v>
      </c>
      <c r="Q45" s="25" t="s">
        <v>41</v>
      </c>
    </row>
    <row r="46" spans="2:17">
      <c r="B46" s="17" t="s">
        <v>116</v>
      </c>
      <c r="C46" s="18">
        <v>420</v>
      </c>
      <c r="D46" s="18">
        <v>440</v>
      </c>
      <c r="E46" s="18">
        <v>460</v>
      </c>
      <c r="F46" s="18">
        <f>E46+20</f>
        <v>480</v>
      </c>
      <c r="G46" s="18">
        <f>F46+20</f>
        <v>500</v>
      </c>
      <c r="H46" s="18">
        <v>460</v>
      </c>
      <c r="I46" s="18">
        <f>H46-10</f>
        <v>450</v>
      </c>
      <c r="J46" s="18">
        <f>I46-10</f>
        <v>440</v>
      </c>
      <c r="K46" s="18">
        <v>450</v>
      </c>
      <c r="L46" s="18">
        <f>K46+20</f>
        <v>470</v>
      </c>
      <c r="M46" s="18">
        <f>L46+10</f>
        <v>480</v>
      </c>
      <c r="N46" s="18">
        <f>M46+20</f>
        <v>500</v>
      </c>
      <c r="O46" s="18">
        <f>N46+20</f>
        <v>520</v>
      </c>
      <c r="P46" s="18">
        <f>O46-10</f>
        <v>510</v>
      </c>
      <c r="Q46" s="18" t="s">
        <v>117</v>
      </c>
    </row>
    <row r="47" spans="2:17">
      <c r="B47" s="17" t="s">
        <v>118</v>
      </c>
      <c r="C47" s="18">
        <v>430</v>
      </c>
      <c r="D47" s="18">
        <v>450</v>
      </c>
      <c r="E47" s="18">
        <v>470</v>
      </c>
      <c r="F47" s="18">
        <f>E47+20</f>
        <v>490</v>
      </c>
      <c r="G47" s="18">
        <f>F47+20</f>
        <v>510</v>
      </c>
      <c r="H47" s="18">
        <v>470</v>
      </c>
      <c r="I47" s="18">
        <f>H47-10</f>
        <v>460</v>
      </c>
      <c r="J47" s="18">
        <f>I47-10</f>
        <v>450</v>
      </c>
      <c r="K47" s="18">
        <v>460</v>
      </c>
      <c r="L47" s="18">
        <f>K47+20</f>
        <v>480</v>
      </c>
      <c r="M47" s="18">
        <f>L47+10</f>
        <v>490</v>
      </c>
      <c r="N47" s="18">
        <f>M47+20</f>
        <v>510</v>
      </c>
      <c r="O47" s="18">
        <f>N47+20</f>
        <v>530</v>
      </c>
      <c r="P47" s="18">
        <f>O47-10</f>
        <v>520</v>
      </c>
      <c r="Q47" s="18" t="s">
        <v>118</v>
      </c>
    </row>
    <row r="48" spans="2:17">
      <c r="B48" s="23"/>
      <c r="K48" s="25"/>
      <c r="L48" s="24"/>
      <c r="O48" s="18">
        <v>520</v>
      </c>
      <c r="P48" s="18">
        <f>O48-10</f>
        <v>510</v>
      </c>
      <c r="Q48" s="18" t="s">
        <v>67</v>
      </c>
    </row>
    <row r="49" spans="2:17">
      <c r="B49" s="23" t="s">
        <v>39</v>
      </c>
      <c r="C49" s="18">
        <v>410</v>
      </c>
      <c r="D49" s="18">
        <v>430</v>
      </c>
      <c r="E49" s="18">
        <v>450</v>
      </c>
      <c r="F49" s="18">
        <f>E49+20</f>
        <v>470</v>
      </c>
      <c r="G49" s="18">
        <f>F49+20</f>
        <v>490</v>
      </c>
      <c r="H49" s="18">
        <v>450</v>
      </c>
      <c r="I49" s="18">
        <f>H49-10</f>
        <v>440</v>
      </c>
      <c r="J49" s="18">
        <f>I49-10</f>
        <v>430</v>
      </c>
      <c r="K49" s="25">
        <v>440</v>
      </c>
      <c r="L49" s="24">
        <f>K49+20</f>
        <v>460</v>
      </c>
      <c r="M49" s="18">
        <f>L49+10</f>
        <v>470</v>
      </c>
      <c r="N49" s="18">
        <f>M49+20</f>
        <v>490</v>
      </c>
      <c r="O49" s="18">
        <f>N49+20</f>
        <v>510</v>
      </c>
      <c r="P49" s="18">
        <f>O49-10</f>
        <v>500</v>
      </c>
      <c r="Q49" s="25" t="s">
        <v>39</v>
      </c>
    </row>
    <row r="50" spans="2:17">
      <c r="B50" s="23" t="s">
        <v>119</v>
      </c>
      <c r="C50" s="18">
        <v>410</v>
      </c>
      <c r="D50" s="18">
        <v>430</v>
      </c>
      <c r="E50" s="18">
        <v>450</v>
      </c>
      <c r="F50" s="18">
        <f>E50+20</f>
        <v>470</v>
      </c>
      <c r="G50" s="18">
        <f>F50+20</f>
        <v>490</v>
      </c>
      <c r="H50" s="18">
        <v>450</v>
      </c>
      <c r="I50" s="18">
        <f>H50-10</f>
        <v>440</v>
      </c>
      <c r="J50" s="18">
        <f>I50-10</f>
        <v>430</v>
      </c>
      <c r="K50" s="25"/>
      <c r="L50" s="24"/>
      <c r="Q50" s="25" t="s">
        <v>119</v>
      </c>
    </row>
    <row r="51" spans="2:17">
      <c r="B51" s="17" t="s">
        <v>66</v>
      </c>
      <c r="C51" s="18">
        <v>450</v>
      </c>
      <c r="D51" s="18">
        <v>470</v>
      </c>
      <c r="E51" s="18">
        <v>490</v>
      </c>
      <c r="F51" s="18">
        <f>E51+20</f>
        <v>510</v>
      </c>
      <c r="G51" s="18">
        <f>F51+20</f>
        <v>530</v>
      </c>
      <c r="H51" s="18">
        <v>490</v>
      </c>
      <c r="I51" s="18">
        <f>H51-10</f>
        <v>480</v>
      </c>
      <c r="J51" s="18">
        <f>I51-10</f>
        <v>470</v>
      </c>
      <c r="K51" s="18">
        <v>480</v>
      </c>
      <c r="L51" s="18">
        <f>K51+20</f>
        <v>500</v>
      </c>
      <c r="M51" s="18">
        <f>L51+10</f>
        <v>510</v>
      </c>
      <c r="N51" s="18">
        <f>M51+20</f>
        <v>530</v>
      </c>
      <c r="O51" s="18">
        <f>N51+20</f>
        <v>550</v>
      </c>
      <c r="P51" s="18">
        <f>O51-10</f>
        <v>540</v>
      </c>
      <c r="Q51" s="18" t="s">
        <v>66</v>
      </c>
    </row>
    <row r="52" spans="2:17">
      <c r="B52" s="17" t="s">
        <v>36</v>
      </c>
      <c r="G52" s="18">
        <v>480</v>
      </c>
      <c r="I52" s="18">
        <f>H52-10</f>
        <v>-10</v>
      </c>
      <c r="J52" s="18">
        <v>440</v>
      </c>
      <c r="K52" s="18">
        <v>450</v>
      </c>
      <c r="L52" s="18">
        <f>K52+20</f>
        <v>470</v>
      </c>
      <c r="M52" s="18">
        <f>L52+10</f>
        <v>480</v>
      </c>
      <c r="N52" s="18">
        <f>M52+20</f>
        <v>500</v>
      </c>
      <c r="O52" s="18">
        <f>N52+20</f>
        <v>520</v>
      </c>
      <c r="P52" s="18">
        <f>O52-10</f>
        <v>510</v>
      </c>
      <c r="Q52" s="18" t="s">
        <v>36</v>
      </c>
    </row>
    <row r="53" spans="2:17">
      <c r="B53" s="17" t="s">
        <v>120</v>
      </c>
      <c r="C53" s="18">
        <v>450</v>
      </c>
      <c r="D53" s="18">
        <v>470</v>
      </c>
      <c r="E53" s="18">
        <v>490</v>
      </c>
      <c r="F53" s="18">
        <f>E53+20</f>
        <v>510</v>
      </c>
      <c r="G53" s="18">
        <f>F53+20</f>
        <v>530</v>
      </c>
      <c r="H53" s="18">
        <v>490</v>
      </c>
      <c r="I53" s="18">
        <f>H53-10</f>
        <v>480</v>
      </c>
      <c r="J53" s="18">
        <f>I53-10</f>
        <v>470</v>
      </c>
      <c r="K53" s="18">
        <v>480</v>
      </c>
      <c r="L53" s="18">
        <f>K53+20</f>
        <v>500</v>
      </c>
      <c r="M53" s="18">
        <f>L53+10</f>
        <v>510</v>
      </c>
      <c r="N53" s="18">
        <f>M53+20</f>
        <v>530</v>
      </c>
      <c r="O53" s="18">
        <f>N53+20</f>
        <v>550</v>
      </c>
      <c r="P53" s="18">
        <f>O53-10</f>
        <v>540</v>
      </c>
      <c r="Q53" s="18" t="s">
        <v>120</v>
      </c>
    </row>
    <row r="54" spans="2:17">
      <c r="B54" s="17" t="s">
        <v>38</v>
      </c>
      <c r="C54" s="18">
        <v>430</v>
      </c>
      <c r="D54" s="18">
        <v>450</v>
      </c>
      <c r="E54" s="18">
        <v>470</v>
      </c>
      <c r="F54" s="18">
        <f>E54+20</f>
        <v>490</v>
      </c>
      <c r="G54" s="18">
        <f>F54+20</f>
        <v>510</v>
      </c>
      <c r="H54" s="18">
        <v>470</v>
      </c>
      <c r="I54" s="18">
        <f>H54-10</f>
        <v>460</v>
      </c>
      <c r="J54" s="18">
        <f>I54-10</f>
        <v>450</v>
      </c>
      <c r="K54" s="18">
        <v>460</v>
      </c>
      <c r="L54" s="18">
        <f>K54+20</f>
        <v>480</v>
      </c>
      <c r="M54" s="18">
        <f>L54+10</f>
        <v>490</v>
      </c>
      <c r="N54" s="18">
        <f>M54+20</f>
        <v>510</v>
      </c>
      <c r="O54" s="18">
        <f>N54+20</f>
        <v>530</v>
      </c>
      <c r="P54" s="18">
        <f>O54-10</f>
        <v>520</v>
      </c>
      <c r="Q54" s="18" t="s">
        <v>38</v>
      </c>
    </row>
    <row r="55" spans="2:17">
      <c r="B55" s="17" t="s">
        <v>37</v>
      </c>
      <c r="C55" s="18">
        <v>430</v>
      </c>
      <c r="D55" s="18">
        <v>450</v>
      </c>
      <c r="E55" s="18">
        <v>470</v>
      </c>
      <c r="F55" s="18">
        <f>E55+20</f>
        <v>490</v>
      </c>
      <c r="G55" s="18">
        <f>F55+20</f>
        <v>510</v>
      </c>
      <c r="H55" s="18">
        <v>475</v>
      </c>
      <c r="I55" s="18">
        <v>460</v>
      </c>
      <c r="J55" s="18">
        <v>450</v>
      </c>
      <c r="K55" s="18">
        <v>460</v>
      </c>
      <c r="L55" s="18">
        <f>K55+20</f>
        <v>480</v>
      </c>
      <c r="M55" s="18">
        <f>L55+10</f>
        <v>490</v>
      </c>
      <c r="N55" s="18">
        <f>M55+20</f>
        <v>510</v>
      </c>
      <c r="O55" s="18">
        <f>N55+20</f>
        <v>530</v>
      </c>
      <c r="P55" s="18">
        <f>O55-10</f>
        <v>520</v>
      </c>
      <c r="Q55" s="18" t="s">
        <v>37</v>
      </c>
    </row>
    <row r="56" spans="2:17">
      <c r="B56" s="17" t="s">
        <v>121</v>
      </c>
      <c r="C56" s="18">
        <v>425</v>
      </c>
      <c r="D56" s="18">
        <v>445</v>
      </c>
      <c r="E56" s="18">
        <v>465</v>
      </c>
      <c r="F56" s="18">
        <f>E56+20</f>
        <v>485</v>
      </c>
      <c r="G56" s="18">
        <f>F56+20</f>
        <v>505</v>
      </c>
      <c r="H56" s="18">
        <v>465</v>
      </c>
      <c r="I56" s="18">
        <f>H56-10</f>
        <v>455</v>
      </c>
      <c r="J56" s="18">
        <f>I56-10</f>
        <v>445</v>
      </c>
      <c r="K56" s="18">
        <v>450</v>
      </c>
      <c r="L56" s="18">
        <f>K56+20</f>
        <v>470</v>
      </c>
      <c r="M56" s="18">
        <f>L56+10</f>
        <v>480</v>
      </c>
      <c r="N56" s="18">
        <f>M56+20</f>
        <v>500</v>
      </c>
      <c r="O56" s="18">
        <f>N56+20</f>
        <v>520</v>
      </c>
      <c r="P56" s="18">
        <f>O56-10</f>
        <v>510</v>
      </c>
      <c r="Q56" s="18" t="s">
        <v>121</v>
      </c>
    </row>
    <row r="57" spans="2:17">
      <c r="B57" s="17" t="s">
        <v>122</v>
      </c>
      <c r="C57" s="18">
        <v>440</v>
      </c>
      <c r="D57" s="18">
        <v>460</v>
      </c>
      <c r="E57" s="18">
        <v>480</v>
      </c>
      <c r="F57" s="18">
        <f>E57+20</f>
        <v>500</v>
      </c>
      <c r="G57" s="18">
        <f>F57+20</f>
        <v>520</v>
      </c>
      <c r="H57" s="18">
        <v>480</v>
      </c>
      <c r="I57" s="18">
        <f>H57-10</f>
        <v>470</v>
      </c>
      <c r="J57" s="18">
        <f>I57-10</f>
        <v>460</v>
      </c>
      <c r="K57" s="18">
        <v>470</v>
      </c>
      <c r="L57" s="18">
        <f>K57+20</f>
        <v>490</v>
      </c>
      <c r="M57" s="18">
        <f>L57+10</f>
        <v>500</v>
      </c>
      <c r="N57" s="18">
        <f>M57+20</f>
        <v>520</v>
      </c>
      <c r="O57" s="18">
        <f>N57+20</f>
        <v>540</v>
      </c>
      <c r="P57" s="18">
        <f>O57-10</f>
        <v>530</v>
      </c>
      <c r="Q57" s="18" t="s">
        <v>122</v>
      </c>
    </row>
    <row r="58" spans="2:17">
      <c r="B58" s="17" t="s">
        <v>123</v>
      </c>
      <c r="C58" s="18">
        <v>440</v>
      </c>
      <c r="D58" s="18">
        <v>460</v>
      </c>
      <c r="E58" s="18">
        <v>480</v>
      </c>
      <c r="F58" s="18">
        <f>E58+20</f>
        <v>500</v>
      </c>
      <c r="G58" s="18">
        <f>F58+20</f>
        <v>520</v>
      </c>
      <c r="H58" s="18">
        <v>480</v>
      </c>
      <c r="I58" s="18">
        <f>H58-10</f>
        <v>470</v>
      </c>
      <c r="J58" s="18">
        <f>I58-10</f>
        <v>460</v>
      </c>
      <c r="K58" s="18">
        <v>470</v>
      </c>
      <c r="L58" s="18">
        <f>K58+20</f>
        <v>490</v>
      </c>
      <c r="M58" s="18">
        <f>L58+10</f>
        <v>500</v>
      </c>
      <c r="N58" s="18">
        <v>530</v>
      </c>
      <c r="O58" s="18">
        <f>N58+20</f>
        <v>550</v>
      </c>
      <c r="P58" s="18">
        <f>O58-10</f>
        <v>540</v>
      </c>
      <c r="Q58" s="18" t="s">
        <v>123</v>
      </c>
    </row>
    <row r="59" spans="2:17">
      <c r="B59" s="17" t="s">
        <v>35</v>
      </c>
      <c r="C59" s="18">
        <v>440</v>
      </c>
      <c r="D59" s="18">
        <v>460</v>
      </c>
      <c r="E59" s="18">
        <v>480</v>
      </c>
      <c r="F59" s="18">
        <f>E59+20</f>
        <v>500</v>
      </c>
      <c r="G59" s="18">
        <f>F59+20</f>
        <v>520</v>
      </c>
      <c r="H59" s="18">
        <v>480</v>
      </c>
      <c r="I59" s="18">
        <f>H59-10</f>
        <v>470</v>
      </c>
      <c r="J59" s="18">
        <f>I59-10</f>
        <v>460</v>
      </c>
      <c r="K59" s="18">
        <v>470</v>
      </c>
      <c r="L59" s="18">
        <f>K59+20</f>
        <v>490</v>
      </c>
      <c r="M59" s="18">
        <f>L59+10</f>
        <v>500</v>
      </c>
      <c r="N59" s="18">
        <f>M59+20</f>
        <v>520</v>
      </c>
      <c r="O59" s="18">
        <f>N59+20</f>
        <v>540</v>
      </c>
      <c r="P59" s="18">
        <f>O59-10</f>
        <v>530</v>
      </c>
      <c r="Q59" s="18" t="s">
        <v>35</v>
      </c>
    </row>
    <row r="60" spans="2:17">
      <c r="B60" s="23" t="s">
        <v>124</v>
      </c>
      <c r="C60" s="18">
        <v>410</v>
      </c>
      <c r="D60" s="18">
        <v>430</v>
      </c>
      <c r="E60" s="18">
        <v>450</v>
      </c>
      <c r="F60" s="18">
        <f>E60+20</f>
        <v>470</v>
      </c>
      <c r="G60" s="18">
        <f>F60+20</f>
        <v>490</v>
      </c>
      <c r="H60" s="18">
        <v>450</v>
      </c>
      <c r="I60" s="18">
        <f>H60-10</f>
        <v>440</v>
      </c>
      <c r="J60" s="18">
        <f>I60-10</f>
        <v>430</v>
      </c>
      <c r="K60" s="25">
        <v>440</v>
      </c>
      <c r="L60" s="24">
        <f>K60+20</f>
        <v>460</v>
      </c>
      <c r="M60" s="18">
        <f>L60+10</f>
        <v>470</v>
      </c>
      <c r="N60" s="18">
        <f>M60+20</f>
        <v>490</v>
      </c>
      <c r="O60" s="18">
        <f>N60+20</f>
        <v>510</v>
      </c>
      <c r="P60" s="18">
        <f>O60-10</f>
        <v>500</v>
      </c>
      <c r="Q60" s="25" t="s">
        <v>124</v>
      </c>
    </row>
    <row r="61" spans="2:17">
      <c r="B61" s="17" t="s">
        <v>125</v>
      </c>
      <c r="C61" s="18">
        <v>430</v>
      </c>
      <c r="D61" s="18">
        <v>450</v>
      </c>
      <c r="E61" s="18">
        <v>470</v>
      </c>
      <c r="F61" s="18">
        <f>E61+20</f>
        <v>490</v>
      </c>
      <c r="G61" s="18">
        <f>F61+20</f>
        <v>510</v>
      </c>
      <c r="H61" s="18">
        <v>470</v>
      </c>
      <c r="I61" s="18">
        <f>H61-10</f>
        <v>460</v>
      </c>
      <c r="J61" s="18">
        <f>I61-10</f>
        <v>450</v>
      </c>
      <c r="K61" s="18">
        <v>470</v>
      </c>
      <c r="L61" s="18">
        <f>K61+20</f>
        <v>490</v>
      </c>
      <c r="M61" s="18">
        <f>L61+10</f>
        <v>500</v>
      </c>
      <c r="N61" s="18">
        <f>M61+20</f>
        <v>520</v>
      </c>
      <c r="O61" s="18">
        <f>N61+20</f>
        <v>540</v>
      </c>
      <c r="P61" s="18">
        <f>O61-10</f>
        <v>530</v>
      </c>
      <c r="Q61" s="18" t="s">
        <v>125</v>
      </c>
    </row>
    <row r="62" spans="2:17">
      <c r="B62" s="23" t="s">
        <v>126</v>
      </c>
      <c r="C62" s="18">
        <v>410</v>
      </c>
      <c r="D62" s="18">
        <v>430</v>
      </c>
      <c r="E62" s="18">
        <v>450</v>
      </c>
      <c r="F62" s="18">
        <f>E62+20</f>
        <v>470</v>
      </c>
      <c r="G62" s="18">
        <f>F62+20</f>
        <v>490</v>
      </c>
      <c r="H62" s="18">
        <v>450</v>
      </c>
      <c r="I62" s="18">
        <f>H62-10</f>
        <v>440</v>
      </c>
      <c r="J62" s="18">
        <f>I62-10</f>
        <v>430</v>
      </c>
      <c r="K62" s="25">
        <v>440</v>
      </c>
      <c r="L62" s="24">
        <f>K62+20</f>
        <v>460</v>
      </c>
      <c r="M62" s="18">
        <f>L62+10</f>
        <v>470</v>
      </c>
      <c r="N62" s="18">
        <f>M62+20</f>
        <v>490</v>
      </c>
      <c r="O62" s="18">
        <f>N62+20</f>
        <v>510</v>
      </c>
      <c r="P62" s="18">
        <f>O62-10</f>
        <v>500</v>
      </c>
      <c r="Q62" s="25" t="s">
        <v>126</v>
      </c>
    </row>
    <row r="63" spans="2:17">
      <c r="B63" s="17" t="s">
        <v>32</v>
      </c>
      <c r="C63" s="18">
        <v>435</v>
      </c>
      <c r="D63" s="18">
        <v>455</v>
      </c>
      <c r="E63" s="18">
        <v>475</v>
      </c>
      <c r="F63" s="18">
        <f>E63+20</f>
        <v>495</v>
      </c>
      <c r="G63" s="18">
        <f>F63+20</f>
        <v>515</v>
      </c>
      <c r="H63" s="18">
        <v>475</v>
      </c>
      <c r="I63" s="18">
        <f>H63-10</f>
        <v>465</v>
      </c>
      <c r="J63" s="18">
        <f>I63-10</f>
        <v>455</v>
      </c>
      <c r="K63" s="18">
        <v>465</v>
      </c>
      <c r="L63" s="18">
        <f>K63+20</f>
        <v>485</v>
      </c>
      <c r="M63" s="18">
        <f>L63+10</f>
        <v>495</v>
      </c>
      <c r="N63" s="18">
        <f>M63+20</f>
        <v>515</v>
      </c>
      <c r="O63" s="18">
        <f>N63+20</f>
        <v>535</v>
      </c>
      <c r="P63" s="18">
        <f>O63-10</f>
        <v>525</v>
      </c>
      <c r="Q63" s="18" t="s">
        <v>32</v>
      </c>
    </row>
    <row r="64" spans="2:17">
      <c r="D64" s="21"/>
      <c r="K64" s="19" t="s">
        <v>127</v>
      </c>
      <c r="Q64" s="19"/>
    </row>
    <row r="65" spans="2:17">
      <c r="B65" s="17" t="s">
        <v>128</v>
      </c>
      <c r="C65" s="18">
        <v>440</v>
      </c>
      <c r="D65" s="21">
        <v>460</v>
      </c>
      <c r="E65" s="18">
        <v>480</v>
      </c>
      <c r="F65" s="18">
        <v>500</v>
      </c>
      <c r="G65" s="18">
        <v>520</v>
      </c>
      <c r="H65" s="18">
        <v>480</v>
      </c>
      <c r="I65" s="18">
        <v>470</v>
      </c>
      <c r="J65" s="18">
        <v>460</v>
      </c>
      <c r="K65" s="18">
        <v>470</v>
      </c>
      <c r="L65" s="18">
        <f>K65+20</f>
        <v>490</v>
      </c>
      <c r="M65" s="18">
        <f>L65+10</f>
        <v>500</v>
      </c>
      <c r="N65" s="18">
        <f>M65+20</f>
        <v>520</v>
      </c>
      <c r="O65" s="18">
        <v>540</v>
      </c>
      <c r="P65" s="18">
        <f>O65-10</f>
        <v>530</v>
      </c>
      <c r="Q65" s="18" t="s">
        <v>128</v>
      </c>
    </row>
    <row r="66" spans="2:17">
      <c r="B66" s="17" t="s">
        <v>77</v>
      </c>
      <c r="C66" s="18">
        <v>440</v>
      </c>
      <c r="D66" s="21">
        <v>460</v>
      </c>
      <c r="E66" s="18">
        <v>480</v>
      </c>
      <c r="F66" s="18">
        <v>500</v>
      </c>
      <c r="G66" s="18">
        <v>520</v>
      </c>
      <c r="H66" s="18">
        <v>480</v>
      </c>
      <c r="I66" s="18">
        <v>470</v>
      </c>
      <c r="J66" s="18">
        <v>460</v>
      </c>
      <c r="K66" s="18">
        <v>470</v>
      </c>
      <c r="L66" s="18">
        <f>K66+20</f>
        <v>490</v>
      </c>
      <c r="M66" s="18">
        <f>L66+10</f>
        <v>500</v>
      </c>
      <c r="N66" s="18">
        <f>M66+20</f>
        <v>520</v>
      </c>
      <c r="O66" s="18">
        <v>540</v>
      </c>
      <c r="P66" s="18">
        <f>O66-10</f>
        <v>530</v>
      </c>
      <c r="Q66" s="18" t="s">
        <v>77</v>
      </c>
    </row>
    <row r="67" spans="2:17">
      <c r="B67" s="17" t="s">
        <v>76</v>
      </c>
      <c r="C67" s="18">
        <v>430</v>
      </c>
      <c r="D67" s="21">
        <v>450</v>
      </c>
      <c r="E67" s="18">
        <v>470</v>
      </c>
      <c r="F67" s="18">
        <v>490</v>
      </c>
      <c r="G67" s="18">
        <v>510</v>
      </c>
      <c r="H67" s="18">
        <v>470</v>
      </c>
      <c r="I67" s="18">
        <v>460</v>
      </c>
      <c r="J67" s="18">
        <v>450</v>
      </c>
      <c r="K67" s="18">
        <v>460</v>
      </c>
      <c r="L67" s="18">
        <f>K67+20</f>
        <v>480</v>
      </c>
      <c r="M67" s="18">
        <f>L67+10</f>
        <v>490</v>
      </c>
      <c r="N67" s="18">
        <f>M67+20</f>
        <v>510</v>
      </c>
      <c r="O67" s="18">
        <v>530</v>
      </c>
      <c r="P67" s="18">
        <f>O67-10</f>
        <v>520</v>
      </c>
      <c r="Q67" s="18" t="s">
        <v>76</v>
      </c>
    </row>
    <row r="68" spans="2:17">
      <c r="B68" s="17" t="s">
        <v>129</v>
      </c>
      <c r="C68" s="18">
        <v>440</v>
      </c>
      <c r="D68" s="18">
        <v>460</v>
      </c>
      <c r="E68" s="18">
        <v>480</v>
      </c>
      <c r="F68" s="18">
        <v>500</v>
      </c>
      <c r="G68" s="18">
        <v>520</v>
      </c>
      <c r="H68" s="18">
        <v>480</v>
      </c>
      <c r="I68" s="18">
        <v>470</v>
      </c>
      <c r="J68" s="18">
        <v>460</v>
      </c>
      <c r="K68" s="18">
        <v>470</v>
      </c>
      <c r="L68" s="18">
        <f>K68+20</f>
        <v>490</v>
      </c>
      <c r="M68" s="18">
        <f>L68+10</f>
        <v>500</v>
      </c>
      <c r="N68" s="18">
        <f>M68+20</f>
        <v>520</v>
      </c>
      <c r="O68" s="18">
        <v>540</v>
      </c>
      <c r="P68" s="18">
        <f>O68-10</f>
        <v>530</v>
      </c>
      <c r="Q68" s="18" t="s">
        <v>129</v>
      </c>
    </row>
    <row r="69" spans="2:17">
      <c r="B69" s="17" t="s">
        <v>130</v>
      </c>
      <c r="C69" s="18">
        <v>430</v>
      </c>
      <c r="D69" s="18">
        <v>460</v>
      </c>
      <c r="E69" s="18">
        <v>480</v>
      </c>
      <c r="F69" s="18">
        <v>500</v>
      </c>
      <c r="G69" s="18">
        <v>520</v>
      </c>
      <c r="H69" s="18">
        <v>480</v>
      </c>
      <c r="I69" s="18">
        <v>470</v>
      </c>
      <c r="J69" s="18">
        <v>460</v>
      </c>
      <c r="K69" s="18">
        <v>480</v>
      </c>
      <c r="L69" s="18">
        <f>K69+20</f>
        <v>500</v>
      </c>
      <c r="M69" s="18">
        <f>L69+10</f>
        <v>510</v>
      </c>
      <c r="N69" s="18">
        <f>M69+20</f>
        <v>530</v>
      </c>
      <c r="O69" s="18">
        <v>550</v>
      </c>
      <c r="P69" s="18">
        <f>O69-10</f>
        <v>540</v>
      </c>
      <c r="Q69" s="18" t="s">
        <v>130</v>
      </c>
    </row>
    <row r="70" spans="2:17">
      <c r="B70" s="17" t="s">
        <v>131</v>
      </c>
      <c r="E70" s="18">
        <v>490</v>
      </c>
      <c r="F70" s="18">
        <v>510</v>
      </c>
      <c r="G70" s="18">
        <v>530</v>
      </c>
      <c r="H70" s="18">
        <v>490</v>
      </c>
      <c r="I70" s="18">
        <v>480</v>
      </c>
      <c r="J70" s="18">
        <v>470</v>
      </c>
      <c r="K70" s="18">
        <v>480</v>
      </c>
      <c r="L70" s="18">
        <f>K70+20</f>
        <v>500</v>
      </c>
      <c r="M70" s="18">
        <f>L70+10</f>
        <v>510</v>
      </c>
      <c r="N70" s="18">
        <f>M70+20</f>
        <v>530</v>
      </c>
      <c r="O70" s="18">
        <v>550</v>
      </c>
      <c r="P70" s="18">
        <f>O70-10</f>
        <v>540</v>
      </c>
      <c r="Q70" s="18" t="s">
        <v>131</v>
      </c>
    </row>
    <row r="71" spans="2:17">
      <c r="B71" s="17" t="s">
        <v>78</v>
      </c>
      <c r="E71" s="18">
        <v>450</v>
      </c>
      <c r="F71" s="18">
        <v>470</v>
      </c>
      <c r="G71" s="18">
        <v>490</v>
      </c>
      <c r="H71" s="18">
        <v>480</v>
      </c>
      <c r="I71" s="18">
        <v>460</v>
      </c>
      <c r="J71" s="18">
        <v>440</v>
      </c>
      <c r="K71" s="18">
        <v>450</v>
      </c>
      <c r="L71" s="18">
        <f>K71+20</f>
        <v>470</v>
      </c>
      <c r="M71" s="18">
        <f>L71+10</f>
        <v>480</v>
      </c>
      <c r="N71" s="18">
        <f>M71+20</f>
        <v>500</v>
      </c>
      <c r="O71" s="18">
        <v>520</v>
      </c>
      <c r="P71" s="18">
        <f>O71-10</f>
        <v>510</v>
      </c>
      <c r="Q71" s="18" t="s">
        <v>78</v>
      </c>
    </row>
    <row r="72" spans="2:17">
      <c r="B72" s="17" t="s">
        <v>132</v>
      </c>
      <c r="F72" s="18" t="s">
        <v>133</v>
      </c>
      <c r="I72" s="18">
        <v>470</v>
      </c>
      <c r="J72" s="18">
        <v>460</v>
      </c>
      <c r="K72" s="18">
        <v>470</v>
      </c>
      <c r="L72" s="18">
        <f>K72+20</f>
        <v>490</v>
      </c>
      <c r="M72" s="18">
        <f>L72+10</f>
        <v>500</v>
      </c>
      <c r="N72" s="18">
        <f>M72+20</f>
        <v>520</v>
      </c>
      <c r="O72" s="18">
        <v>540</v>
      </c>
      <c r="P72" s="18">
        <f>O72-10</f>
        <v>530</v>
      </c>
      <c r="Q72" s="18" t="s">
        <v>134</v>
      </c>
    </row>
    <row r="73" spans="2:17">
      <c r="K73" s="18">
        <v>460</v>
      </c>
      <c r="L73" s="18">
        <f>K73+20</f>
        <v>480</v>
      </c>
      <c r="M73" s="18">
        <f>L73+10</f>
        <v>490</v>
      </c>
      <c r="N73" s="18">
        <f>M73+20</f>
        <v>510</v>
      </c>
      <c r="O73" s="18">
        <v>530</v>
      </c>
      <c r="P73" s="18">
        <f>O73-10</f>
        <v>520</v>
      </c>
      <c r="Q73" s="18" t="s">
        <v>75</v>
      </c>
    </row>
    <row r="74" spans="2:17">
      <c r="Q74" s="18" t="s">
        <v>74</v>
      </c>
    </row>
  </sheetData>
  <autoFilter xmlns:etc="http://www.wps.cn/officeDocument/2017/etCustomData" ref="B1:S74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2"/>
  <sheetViews>
    <sheetView workbookViewId="0">
      <selection activeCell="K44" sqref="K44"/>
    </sheetView>
  </sheetViews>
  <sheetFormatPr defaultColWidth="9" defaultRowHeight="13.5" outlineLevelCol="5"/>
  <cols>
    <col min="2" max="2" width="12.625" customWidth="1"/>
  </cols>
  <sheetData>
    <row r="1" ht="16.5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16.5" spans="1:6">
      <c r="A2" s="10" t="s">
        <v>32</v>
      </c>
      <c r="B2" s="11">
        <v>535000</v>
      </c>
      <c r="C2" s="12" t="s">
        <v>33</v>
      </c>
      <c r="D2" s="11"/>
      <c r="E2" s="11"/>
      <c r="F2" s="13"/>
    </row>
    <row r="3" ht="16.5" spans="1:6">
      <c r="A3" s="10" t="s">
        <v>34</v>
      </c>
      <c r="B3" s="11">
        <v>520000</v>
      </c>
      <c r="C3" s="12" t="s">
        <v>33</v>
      </c>
      <c r="D3" s="11">
        <v>370000</v>
      </c>
      <c r="E3" s="11"/>
      <c r="F3" s="13"/>
    </row>
    <row r="4" ht="16.5" spans="1:6">
      <c r="A4" s="10" t="s">
        <v>124</v>
      </c>
      <c r="B4" s="11">
        <v>490000</v>
      </c>
      <c r="C4" s="12" t="s">
        <v>33</v>
      </c>
      <c r="D4" s="11">
        <v>350000</v>
      </c>
      <c r="E4" s="11">
        <v>170000</v>
      </c>
      <c r="F4" s="13"/>
    </row>
    <row r="5" ht="16.5" spans="1:6">
      <c r="A5" s="10" t="s">
        <v>35</v>
      </c>
      <c r="B5" s="11">
        <v>520000</v>
      </c>
      <c r="C5" s="12" t="s">
        <v>33</v>
      </c>
      <c r="D5" s="11"/>
      <c r="E5" s="11"/>
      <c r="F5" s="13"/>
    </row>
    <row r="6" ht="16.5" spans="1:6">
      <c r="A6" s="10" t="s">
        <v>36</v>
      </c>
      <c r="B6" s="11">
        <v>500000</v>
      </c>
      <c r="C6" s="12" t="s">
        <v>33</v>
      </c>
      <c r="D6" s="11">
        <v>380000</v>
      </c>
      <c r="E6" s="11">
        <v>180000</v>
      </c>
      <c r="F6" s="13"/>
    </row>
    <row r="7" ht="16.5" spans="1:6">
      <c r="A7" s="10" t="s">
        <v>37</v>
      </c>
      <c r="B7" s="11">
        <v>510000</v>
      </c>
      <c r="C7" s="12" t="s">
        <v>33</v>
      </c>
      <c r="D7" s="11"/>
      <c r="E7" s="11"/>
      <c r="F7" s="13"/>
    </row>
    <row r="8" ht="16.5" spans="1:6">
      <c r="A8" s="10" t="s">
        <v>38</v>
      </c>
      <c r="B8" s="11">
        <v>510000</v>
      </c>
      <c r="C8" s="12" t="s">
        <v>33</v>
      </c>
      <c r="D8" s="11"/>
      <c r="E8" s="11"/>
      <c r="F8" s="13"/>
    </row>
    <row r="9" ht="16.5" spans="1:6">
      <c r="A9" s="10" t="s">
        <v>39</v>
      </c>
      <c r="B9" s="11">
        <v>490000</v>
      </c>
      <c r="C9" s="12" t="s">
        <v>33</v>
      </c>
      <c r="D9" s="11"/>
      <c r="E9" s="11"/>
      <c r="F9" s="13"/>
    </row>
    <row r="10" ht="16.5" spans="1:6">
      <c r="A10" s="10" t="s">
        <v>40</v>
      </c>
      <c r="B10" s="11">
        <v>510000</v>
      </c>
      <c r="C10" s="12" t="s">
        <v>33</v>
      </c>
      <c r="D10" s="11"/>
      <c r="E10" s="11"/>
      <c r="F10" s="13"/>
    </row>
    <row r="11" ht="16.5" spans="1:6">
      <c r="A11" s="10" t="s">
        <v>41</v>
      </c>
      <c r="B11" s="11">
        <v>490000</v>
      </c>
      <c r="C11" s="12" t="s">
        <v>33</v>
      </c>
      <c r="D11" s="11"/>
      <c r="E11" s="11"/>
      <c r="F11" s="13"/>
    </row>
    <row r="12" ht="16.5" spans="1:6">
      <c r="A12" s="10" t="s">
        <v>42</v>
      </c>
      <c r="B12" s="11">
        <v>490000</v>
      </c>
      <c r="C12" s="12" t="s">
        <v>33</v>
      </c>
      <c r="D12" s="11"/>
      <c r="E12" s="11"/>
      <c r="F12" s="13"/>
    </row>
    <row r="13" ht="16.5" spans="1:6">
      <c r="A13" s="10" t="s">
        <v>43</v>
      </c>
      <c r="B13" s="11">
        <v>500000</v>
      </c>
      <c r="C13" s="12" t="s">
        <v>33</v>
      </c>
      <c r="D13" s="11"/>
      <c r="E13" s="11"/>
      <c r="F13" s="13"/>
    </row>
    <row r="14" ht="16.5" spans="1:6">
      <c r="A14" s="10" t="s">
        <v>44</v>
      </c>
      <c r="B14" s="11">
        <v>520000</v>
      </c>
      <c r="C14" s="12" t="s">
        <v>33</v>
      </c>
      <c r="D14" s="11">
        <v>400000</v>
      </c>
      <c r="E14" s="11">
        <v>220000</v>
      </c>
      <c r="F14" s="13"/>
    </row>
    <row r="15" ht="16.5" spans="1:6">
      <c r="A15" s="10" t="s">
        <v>45</v>
      </c>
      <c r="B15" s="11">
        <v>510000</v>
      </c>
      <c r="C15" s="12" t="s">
        <v>33</v>
      </c>
      <c r="D15" s="11"/>
      <c r="E15" s="11"/>
      <c r="F15" s="13"/>
    </row>
    <row r="16" ht="16.5" spans="1:6">
      <c r="A16" s="10" t="s">
        <v>46</v>
      </c>
      <c r="B16" s="11">
        <v>510000</v>
      </c>
      <c r="C16" s="12" t="s">
        <v>33</v>
      </c>
      <c r="D16" s="11">
        <v>380000</v>
      </c>
      <c r="E16" s="11">
        <v>190000</v>
      </c>
      <c r="F16" s="13"/>
    </row>
    <row r="17" ht="16.5" spans="1:6">
      <c r="A17" s="10" t="s">
        <v>47</v>
      </c>
      <c r="B17" s="11">
        <v>530000</v>
      </c>
      <c r="C17" s="12" t="s">
        <v>33</v>
      </c>
      <c r="D17" s="11"/>
      <c r="E17" s="11"/>
      <c r="F17" s="13"/>
    </row>
    <row r="18" ht="16.5" spans="1:6">
      <c r="A18" s="10" t="s">
        <v>48</v>
      </c>
      <c r="B18" s="11">
        <v>500000</v>
      </c>
      <c r="C18" s="12" t="s">
        <v>33</v>
      </c>
      <c r="D18" s="11"/>
      <c r="E18" s="11"/>
      <c r="F18" s="13"/>
    </row>
    <row r="19" ht="16.5" spans="1:6">
      <c r="A19" s="10" t="s">
        <v>49</v>
      </c>
      <c r="B19" s="11">
        <v>515000</v>
      </c>
      <c r="C19" s="12" t="s">
        <v>33</v>
      </c>
      <c r="D19" s="11"/>
      <c r="E19" s="11"/>
      <c r="F19" s="13"/>
    </row>
    <row r="20" ht="16.5" spans="1:6">
      <c r="A20" s="10" t="s">
        <v>50</v>
      </c>
      <c r="B20" s="11">
        <v>470000</v>
      </c>
      <c r="C20" s="12" t="s">
        <v>33</v>
      </c>
      <c r="D20" s="11"/>
      <c r="E20" s="11"/>
      <c r="F20" s="13"/>
    </row>
    <row r="21" ht="16.5" spans="1:6">
      <c r="A21" s="10" t="s">
        <v>51</v>
      </c>
      <c r="B21" s="11">
        <v>505000</v>
      </c>
      <c r="C21" s="12" t="s">
        <v>33</v>
      </c>
      <c r="D21" s="11"/>
      <c r="E21" s="11"/>
      <c r="F21" s="13"/>
    </row>
    <row r="22" ht="16.5" spans="1:6">
      <c r="A22" s="10" t="s">
        <v>52</v>
      </c>
      <c r="B22" s="11">
        <v>515000</v>
      </c>
      <c r="C22" s="12" t="s">
        <v>33</v>
      </c>
      <c r="D22" s="11"/>
      <c r="E22" s="11"/>
      <c r="F22" s="13"/>
    </row>
    <row r="23" ht="16.5" spans="1:6">
      <c r="A23" s="10" t="s">
        <v>53</v>
      </c>
      <c r="B23" s="11">
        <v>510000</v>
      </c>
      <c r="C23" s="12" t="s">
        <v>33</v>
      </c>
      <c r="D23" s="11"/>
      <c r="E23" s="11"/>
      <c r="F23" s="13"/>
    </row>
    <row r="24" ht="16.5" spans="1:6">
      <c r="A24" s="10" t="s">
        <v>54</v>
      </c>
      <c r="B24" s="11">
        <v>505000</v>
      </c>
      <c r="C24" s="12" t="s">
        <v>33</v>
      </c>
      <c r="D24" s="11"/>
      <c r="E24" s="11"/>
      <c r="F24" s="13"/>
    </row>
    <row r="25" ht="16.5" spans="1:6">
      <c r="A25" s="10" t="s">
        <v>107</v>
      </c>
      <c r="B25" s="11">
        <v>490000</v>
      </c>
      <c r="C25" s="12" t="s">
        <v>33</v>
      </c>
      <c r="D25" s="11">
        <v>350000</v>
      </c>
      <c r="E25" s="11">
        <v>170000</v>
      </c>
      <c r="F25" s="13"/>
    </row>
    <row r="26" ht="16.5" spans="1:6">
      <c r="A26" s="10" t="s">
        <v>55</v>
      </c>
      <c r="B26" s="11">
        <v>520000</v>
      </c>
      <c r="C26" s="12" t="s">
        <v>33</v>
      </c>
      <c r="D26" s="11"/>
      <c r="E26" s="11"/>
      <c r="F26" s="13"/>
    </row>
    <row r="27" ht="16.5" spans="1:6">
      <c r="A27" s="10" t="s">
        <v>56</v>
      </c>
      <c r="B27" s="11">
        <v>515000</v>
      </c>
      <c r="C27" s="12" t="s">
        <v>33</v>
      </c>
      <c r="D27" s="11"/>
      <c r="E27" s="11"/>
      <c r="F27" s="13"/>
    </row>
    <row r="28" ht="16.5" spans="1:6">
      <c r="A28" s="10" t="s">
        <v>57</v>
      </c>
      <c r="B28" s="11">
        <v>490000</v>
      </c>
      <c r="C28" s="12" t="s">
        <v>33</v>
      </c>
      <c r="D28" s="11"/>
      <c r="E28" s="11">
        <v>190000</v>
      </c>
      <c r="F28" s="13"/>
    </row>
    <row r="29" ht="16.5" spans="1:6">
      <c r="A29" s="10" t="s">
        <v>58</v>
      </c>
      <c r="B29" s="11">
        <v>510000</v>
      </c>
      <c r="C29" s="12" t="s">
        <v>33</v>
      </c>
      <c r="D29" s="11"/>
      <c r="E29" s="11"/>
      <c r="F29" s="13"/>
    </row>
    <row r="30" ht="16.5" spans="1:6">
      <c r="A30" s="10" t="s">
        <v>59</v>
      </c>
      <c r="B30" s="11">
        <v>520000</v>
      </c>
      <c r="C30" s="12" t="s">
        <v>33</v>
      </c>
      <c r="D30" s="11"/>
      <c r="E30" s="11"/>
      <c r="F30" s="13"/>
    </row>
    <row r="31" ht="16.5" spans="1:6">
      <c r="A31" s="10" t="s">
        <v>60</v>
      </c>
      <c r="B31" s="11">
        <v>500000</v>
      </c>
      <c r="C31" s="12" t="s">
        <v>33</v>
      </c>
      <c r="D31" s="11">
        <v>380000</v>
      </c>
      <c r="E31" s="11">
        <v>190000</v>
      </c>
      <c r="F31" s="13"/>
    </row>
    <row r="32" ht="16.5" spans="1:6">
      <c r="A32" s="10" t="s">
        <v>61</v>
      </c>
      <c r="B32" s="11">
        <v>500000</v>
      </c>
      <c r="C32" s="12" t="s">
        <v>33</v>
      </c>
      <c r="D32" s="11"/>
      <c r="E32" s="11"/>
      <c r="F32" s="13"/>
    </row>
    <row r="33" ht="16.5" spans="1:6">
      <c r="A33" s="10" t="s">
        <v>62</v>
      </c>
      <c r="B33" s="11">
        <v>500000</v>
      </c>
      <c r="C33" s="12" t="s">
        <v>33</v>
      </c>
      <c r="D33" s="11"/>
      <c r="E33" s="11"/>
      <c r="F33" s="13"/>
    </row>
    <row r="34" ht="16.5" spans="1:6">
      <c r="A34" s="10" t="s">
        <v>63</v>
      </c>
      <c r="B34" s="11">
        <v>520000</v>
      </c>
      <c r="C34" s="12" t="s">
        <v>33</v>
      </c>
      <c r="D34" s="11"/>
      <c r="E34" s="11"/>
      <c r="F34" s="13"/>
    </row>
    <row r="35" ht="16.5" spans="1:6">
      <c r="A35" s="10" t="s">
        <v>64</v>
      </c>
      <c r="B35" s="11">
        <v>500000</v>
      </c>
      <c r="C35" s="12" t="s">
        <v>33</v>
      </c>
      <c r="D35" s="11"/>
      <c r="E35" s="11"/>
      <c r="F35" s="13"/>
    </row>
    <row r="36" ht="16.5" spans="1:6">
      <c r="A36" s="10" t="s">
        <v>96</v>
      </c>
      <c r="B36" s="11">
        <v>500000</v>
      </c>
      <c r="C36" s="12" t="s">
        <v>33</v>
      </c>
      <c r="D36" s="11">
        <v>390000</v>
      </c>
      <c r="E36" s="11">
        <v>200000</v>
      </c>
      <c r="F36" s="13"/>
    </row>
    <row r="37" ht="16.5" spans="1:6">
      <c r="A37" s="10" t="s">
        <v>65</v>
      </c>
      <c r="B37" s="11">
        <v>500000</v>
      </c>
      <c r="C37" s="12" t="s">
        <v>33</v>
      </c>
      <c r="D37" s="11">
        <v>390000</v>
      </c>
      <c r="E37" s="11">
        <v>170000</v>
      </c>
      <c r="F37" s="13"/>
    </row>
    <row r="38" ht="16.5" spans="1:6">
      <c r="A38" s="10" t="s">
        <v>66</v>
      </c>
      <c r="B38" s="14"/>
      <c r="C38" s="12" t="s">
        <v>33</v>
      </c>
      <c r="D38" s="14"/>
      <c r="E38" s="14"/>
      <c r="F38" s="13"/>
    </row>
    <row r="39" ht="16.5" spans="1:6">
      <c r="A39" s="10" t="s">
        <v>67</v>
      </c>
      <c r="B39" s="11">
        <v>500000</v>
      </c>
      <c r="C39" s="12" t="s">
        <v>33</v>
      </c>
      <c r="D39" s="11">
        <v>380000</v>
      </c>
      <c r="E39" s="11">
        <v>170000</v>
      </c>
      <c r="F39" s="13"/>
    </row>
    <row r="40" ht="16.5" spans="1:6">
      <c r="A40" s="15" t="s">
        <v>73</v>
      </c>
      <c r="B40" s="16"/>
    </row>
    <row r="41" ht="16.5" spans="1:6">
      <c r="A41" s="15" t="s">
        <v>74</v>
      </c>
      <c r="B41" s="16">
        <v>530000</v>
      </c>
    </row>
    <row r="42" ht="16.5" spans="1:6">
      <c r="A42" s="15" t="s">
        <v>75</v>
      </c>
      <c r="B42" s="16"/>
    </row>
    <row r="43" ht="16.5" spans="1:6">
      <c r="A43" s="15" t="s">
        <v>76</v>
      </c>
      <c r="B43" s="16">
        <v>520000</v>
      </c>
    </row>
    <row r="44" ht="16.5" spans="1:6">
      <c r="A44" s="15" t="s">
        <v>135</v>
      </c>
      <c r="B44" s="16"/>
    </row>
    <row r="45" ht="16.5" spans="1:6">
      <c r="A45" s="15" t="s">
        <v>129</v>
      </c>
      <c r="B45" s="16"/>
    </row>
    <row r="46" ht="16.5" spans="1:6">
      <c r="A46" s="15" t="s">
        <v>136</v>
      </c>
      <c r="B46" s="16"/>
    </row>
    <row r="47" ht="16.5" spans="1:6">
      <c r="A47" s="15" t="s">
        <v>137</v>
      </c>
      <c r="B47" s="16"/>
    </row>
    <row r="48" ht="16.5" spans="1:6">
      <c r="A48" s="15" t="s">
        <v>138</v>
      </c>
      <c r="B48" s="16"/>
    </row>
    <row r="49" ht="16.5" spans="1:2">
      <c r="A49" s="15" t="s">
        <v>77</v>
      </c>
      <c r="B49" s="16">
        <v>530000</v>
      </c>
    </row>
    <row r="50" ht="16.5" spans="1:2">
      <c r="A50" s="15" t="s">
        <v>78</v>
      </c>
      <c r="B50" s="16">
        <v>510000</v>
      </c>
    </row>
    <row r="51" ht="16.5" spans="1:2">
      <c r="A51" s="15" t="s">
        <v>122</v>
      </c>
      <c r="B51" s="16"/>
    </row>
    <row r="52" ht="16.5" spans="1:2">
      <c r="A52" s="15" t="s">
        <v>79</v>
      </c>
      <c r="B52" s="16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4"/>
  <sheetViews>
    <sheetView tabSelected="1" workbookViewId="0">
      <selection activeCell="C25" sqref="C25"/>
    </sheetView>
  </sheetViews>
  <sheetFormatPr defaultColWidth="9" defaultRowHeight="13.5" outlineLevelCol="5"/>
  <cols>
    <col min="1" max="1" width="19" customWidth="1"/>
    <col min="2" max="3" width="8.875" customWidth="1"/>
    <col min="4" max="4" width="12.75" customWidth="1"/>
    <col min="5" max="5" width="11.5" customWidth="1"/>
    <col min="6" max="6" width="11.5" style="1" customWidth="1"/>
  </cols>
  <sheetData>
    <row r="1" ht="15" spans="1:6">
      <c r="A1" s="2" t="s">
        <v>139</v>
      </c>
      <c r="B1" s="3" t="s">
        <v>140</v>
      </c>
      <c r="C1" s="3" t="s">
        <v>141</v>
      </c>
      <c r="D1" s="3" t="s">
        <v>142</v>
      </c>
      <c r="E1" s="4" t="s">
        <v>143</v>
      </c>
      <c r="F1" s="4" t="s">
        <v>144</v>
      </c>
    </row>
    <row r="2" ht="16.5" spans="1:6">
      <c r="A2" s="5">
        <v>46161</v>
      </c>
      <c r="B2" s="6" t="s">
        <v>145</v>
      </c>
      <c r="C2" s="6" t="s">
        <v>61</v>
      </c>
      <c r="D2" s="7">
        <v>196</v>
      </c>
      <c r="E2" s="8">
        <v>15521645</v>
      </c>
      <c r="F2" s="8">
        <v>510000</v>
      </c>
    </row>
    <row r="3" ht="16.5" spans="1:6">
      <c r="A3" s="5">
        <v>46161</v>
      </c>
      <c r="B3" s="6" t="s">
        <v>145</v>
      </c>
      <c r="C3" s="6" t="s">
        <v>60</v>
      </c>
      <c r="D3" s="7">
        <v>198</v>
      </c>
      <c r="E3" s="8">
        <v>58752000</v>
      </c>
      <c r="F3" s="8">
        <v>510000</v>
      </c>
    </row>
    <row r="4" ht="16.5" spans="1:6">
      <c r="A4" s="5">
        <v>46161</v>
      </c>
      <c r="B4" s="6" t="s">
        <v>145</v>
      </c>
      <c r="C4" s="6" t="s">
        <v>57</v>
      </c>
      <c r="D4" s="7">
        <v>192</v>
      </c>
      <c r="E4" s="8">
        <v>100000000</v>
      </c>
      <c r="F4" s="8">
        <v>500000</v>
      </c>
    </row>
    <row r="5" ht="16.5" spans="1:6">
      <c r="A5" s="5">
        <v>46161</v>
      </c>
      <c r="B5" s="6" t="s">
        <v>146</v>
      </c>
      <c r="C5" s="6" t="s">
        <v>70</v>
      </c>
      <c r="D5" s="7">
        <v>36</v>
      </c>
      <c r="E5" s="8">
        <v>5832000</v>
      </c>
      <c r="F5" s="8">
        <v>540000</v>
      </c>
    </row>
    <row r="6" ht="16.5" spans="1:6">
      <c r="A6" s="5">
        <v>46161</v>
      </c>
      <c r="B6" s="6" t="s">
        <v>146</v>
      </c>
      <c r="C6" s="6" t="s">
        <v>48</v>
      </c>
      <c r="D6" s="7">
        <v>195</v>
      </c>
      <c r="E6" s="8">
        <v>57000000</v>
      </c>
      <c r="F6" s="8">
        <v>520000</v>
      </c>
    </row>
    <row r="7" ht="16.5" spans="1:6">
      <c r="A7" s="5">
        <v>46161</v>
      </c>
      <c r="B7" s="6" t="s">
        <v>146</v>
      </c>
      <c r="C7" s="6" t="s">
        <v>48</v>
      </c>
      <c r="D7" s="7">
        <v>195</v>
      </c>
      <c r="E7" s="8">
        <v>150000000</v>
      </c>
      <c r="F7" s="8">
        <v>520000</v>
      </c>
    </row>
    <row r="8" ht="16.5" spans="1:6">
      <c r="A8" s="5">
        <v>46161</v>
      </c>
      <c r="B8" s="6" t="s">
        <v>147</v>
      </c>
      <c r="C8" s="6" t="s">
        <v>44</v>
      </c>
      <c r="D8" s="7">
        <v>63</v>
      </c>
      <c r="E8" s="8">
        <v>50000000</v>
      </c>
      <c r="F8" s="8">
        <v>530000</v>
      </c>
    </row>
    <row r="9" ht="16.5" spans="1:6">
      <c r="A9" s="5">
        <v>46161</v>
      </c>
      <c r="B9" s="6" t="s">
        <v>148</v>
      </c>
      <c r="C9" s="6" t="s">
        <v>32</v>
      </c>
      <c r="D9" s="7">
        <v>187</v>
      </c>
      <c r="E9" s="8">
        <v>6741000</v>
      </c>
      <c r="F9" s="8">
        <v>535000</v>
      </c>
    </row>
    <row r="10" ht="16.5" spans="1:6">
      <c r="A10" s="5">
        <v>46161</v>
      </c>
      <c r="B10" s="6" t="s">
        <v>149</v>
      </c>
      <c r="C10" s="6" t="s">
        <v>65</v>
      </c>
      <c r="D10" s="7">
        <v>150</v>
      </c>
      <c r="E10" s="8">
        <v>150000000</v>
      </c>
      <c r="F10" s="8">
        <v>510000</v>
      </c>
    </row>
    <row r="11" ht="16.5" spans="1:6">
      <c r="A11" s="5">
        <v>46161</v>
      </c>
      <c r="B11" s="6" t="s">
        <v>149</v>
      </c>
      <c r="C11" s="6" t="s">
        <v>150</v>
      </c>
      <c r="D11" s="7">
        <v>65</v>
      </c>
      <c r="E11" s="8">
        <v>5616000</v>
      </c>
      <c r="F11" s="8"/>
    </row>
    <row r="12" ht="16.5" spans="1:6">
      <c r="A12" s="5">
        <v>46161</v>
      </c>
      <c r="B12" s="6" t="s">
        <v>149</v>
      </c>
      <c r="C12" s="6" t="s">
        <v>151</v>
      </c>
      <c r="D12" s="7">
        <v>65</v>
      </c>
      <c r="E12" s="8">
        <v>5616000</v>
      </c>
      <c r="F12" s="8"/>
    </row>
    <row r="13" ht="16.5" spans="1:6">
      <c r="A13" s="5">
        <v>46161</v>
      </c>
      <c r="B13" s="6" t="s">
        <v>149</v>
      </c>
      <c r="C13" s="6" t="s">
        <v>152</v>
      </c>
      <c r="D13" s="7">
        <v>65</v>
      </c>
      <c r="E13" s="8">
        <v>5616000</v>
      </c>
      <c r="F13" s="8"/>
    </row>
    <row r="14" ht="16.5" spans="1:6">
      <c r="A14" s="5">
        <v>46161</v>
      </c>
      <c r="B14" s="6" t="s">
        <v>149</v>
      </c>
      <c r="C14" s="6" t="s">
        <v>153</v>
      </c>
      <c r="D14" s="7">
        <v>65</v>
      </c>
      <c r="E14" s="8">
        <v>7371000</v>
      </c>
      <c r="F1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2026-05-19T08:15:05Z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4298FCE7FE7E45A99D0E4FF728FE0219_13</vt:lpwstr>
  </property>
  <property fmtid="{D5CDD505-2E9C-101B-9397-08002B2CF9AE}" pid="4" name="CalculationRule">
    <vt:i4>0</vt:i4>
  </property>
</Properties>
</file>